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nyo\PycharmProjects\ABC_toolbox\abc_model_excel_toolkit\"/>
    </mc:Choice>
  </mc:AlternateContent>
  <xr:revisionPtr revIDLastSave="0" documentId="13_ncr:1_{66C7A9D6-521D-4CF5-8D2C-324C97751AB1}" xr6:coauthVersionLast="47" xr6:coauthVersionMax="47" xr10:uidLastSave="{00000000-0000-0000-0000-000000000000}"/>
  <bookViews>
    <workbookView xWindow="-98" yWindow="-98" windowWidth="24496" windowHeight="15675" activeTab="5" xr2:uid="{DBF3E41C-67D9-4203-8DB4-BA5359FA276E}"/>
  </bookViews>
  <sheets>
    <sheet name="Overview" sheetId="5" r:id="rId1"/>
    <sheet name="Simulation Information" sheetId="1" r:id="rId2"/>
    <sheet name="Thermal Environment" sheetId="2" r:id="rId3"/>
    <sheet name="Results" sheetId="3" r:id="rId4"/>
    <sheet name="Clothing Reference" sheetId="8" r:id="rId5"/>
    <sheet name="Change Log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31" i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4" i="2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Akihisa Nomoto</author>
    <author>tc={3F8E3EAB-1C52-496B-A651-814DE8E79EAF}</author>
  </authors>
  <commentList>
    <comment ref="C6" authorId="0" shapeId="0" xr:uid="{A3A76B36-4873-4262-877C-67A5C2F165F7}">
      <text>
        <r>
          <rPr>
            <b/>
            <sz val="9"/>
            <color indexed="81"/>
            <rFont val="Tahoma"/>
            <family val="2"/>
          </rPr>
          <t>Akihisa Nomoto:</t>
        </r>
        <r>
          <rPr>
            <sz val="9"/>
            <color indexed="81"/>
            <rFont val="Tahoma"/>
            <family val="2"/>
          </rPr>
          <t xml:space="preserve">
[</t>
        </r>
        <r>
          <rPr>
            <b/>
            <sz val="9"/>
            <color indexed="81"/>
            <rFont val="Tahoma"/>
            <family val="2"/>
          </rPr>
          <t>IMPORTANT]</t>
        </r>
        <r>
          <rPr>
            <sz val="9"/>
            <color indexed="81"/>
            <rFont val="Tahoma"/>
            <family val="2"/>
          </rPr>
          <t xml:space="preserve"> Please specify the correct file path for the downloaded ABC tool box folder in your computer.　</t>
        </r>
      </text>
    </comment>
    <comment ref="C8" authorId="1" shapeId="0" xr:uid="{3F8E3EAB-1C52-496B-A651-814DE8E79EAF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default values (columns D) are set if you do not define the optional input values.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tc={7857FEBB-9F6B-437A-9E22-7E032DEB9C8D}</author>
  </authors>
  <commentList>
    <comment ref="G2" authorId="0" shapeId="0" xr:uid="{7857FEBB-9F6B-437A-9E22-7E032DEB9C8D}">
      <text>
        <t>[Threaded comment]
Your version of Excel allows you to read this threaded comment; however, any edits to it will get removed if the file is opened in a newer version of Excel. Learn more: https://go.microsoft.com/fwlink/?linkid=870924
Comment:
    In this sheet, clothing insulation for the Neck is assumed to be the same as for the Head.</t>
      </text>
    </comment>
  </commentList>
</comments>
</file>

<file path=xl/sharedStrings.xml><?xml version="1.0" encoding="utf-8"?>
<sst xmlns="http://schemas.openxmlformats.org/spreadsheetml/2006/main" count="530" uniqueCount="351">
  <si>
    <t>Sample</t>
  </si>
  <si>
    <t>This is an input file for a sample project.</t>
  </si>
  <si>
    <t>Head</t>
  </si>
  <si>
    <t>Neck</t>
    <phoneticPr fontId="0"/>
  </si>
  <si>
    <t>Chest</t>
  </si>
  <si>
    <t>Back</t>
  </si>
  <si>
    <t>Pelvis</t>
  </si>
  <si>
    <t>description</t>
  </si>
  <si>
    <t>Left Upper Arm</t>
  </si>
  <si>
    <t>Right Upper Arm</t>
  </si>
  <si>
    <t>Left Lower Arm</t>
  </si>
  <si>
    <t>Right Lower Arm</t>
  </si>
  <si>
    <t>Left Hand</t>
  </si>
  <si>
    <t>Right Hand</t>
  </si>
  <si>
    <t>Left Thigh</t>
  </si>
  <si>
    <t>Right Thigh</t>
  </si>
  <si>
    <t>Left Lower Leg</t>
  </si>
  <si>
    <t>Right Lower Leg</t>
  </si>
  <si>
    <t>Left Foot</t>
  </si>
  <si>
    <t>Right Foot</t>
  </si>
  <si>
    <t>sample clothing ensemble</t>
  </si>
  <si>
    <t>This is sample clothing ensemble data.</t>
  </si>
  <si>
    <t>Neck</t>
  </si>
  <si>
    <t>Outdoor</t>
  </si>
  <si>
    <t>start_time</t>
  </si>
  <si>
    <t>end_time</t>
  </si>
  <si>
    <t>time_units</t>
  </si>
  <si>
    <t>met</t>
  </si>
  <si>
    <t>ramp</t>
  </si>
  <si>
    <t>Air Temperature</t>
  </si>
  <si>
    <t>[oC]</t>
  </si>
  <si>
    <t>Mean Radiant Temperature</t>
  </si>
  <si>
    <t>Relative Humidity</t>
  </si>
  <si>
    <t>Air velocity</t>
  </si>
  <si>
    <t>[m/s]</t>
  </si>
  <si>
    <t>[W/m2]</t>
  </si>
  <si>
    <t>Indoor</t>
  </si>
  <si>
    <t>ta</t>
  </si>
  <si>
    <t>mrt</t>
  </si>
  <si>
    <t>rh</t>
  </si>
  <si>
    <t>[nd]</t>
  </si>
  <si>
    <t>v</t>
  </si>
  <si>
    <t>solar</t>
  </si>
  <si>
    <t>Solar radiation</t>
  </si>
  <si>
    <t>[met]</t>
  </si>
  <si>
    <t>Clothing insulation Icl(i)  [clo]</t>
  </si>
  <si>
    <t>id</t>
  </si>
  <si>
    <t>name</t>
  </si>
  <si>
    <t>bodybuilder</t>
  </si>
  <si>
    <t>age</t>
  </si>
  <si>
    <t>body_fat</t>
  </si>
  <si>
    <t>gender</t>
  </si>
  <si>
    <t>height</t>
  </si>
  <si>
    <t>weight</t>
  </si>
  <si>
    <t>skin_color</t>
  </si>
  <si>
    <t>bloodFlow_factor</t>
  </si>
  <si>
    <t>skinBloodFlow_factor</t>
  </si>
  <si>
    <t>conductance_factor</t>
  </si>
  <si>
    <t>capacitance_factor</t>
  </si>
  <si>
    <t>male</t>
  </si>
  <si>
    <t>brown</t>
  </si>
  <si>
    <t>clothing</t>
  </si>
  <si>
    <t>ensemble_name</t>
  </si>
  <si>
    <t>segment_data</t>
  </si>
  <si>
    <t>segment</t>
  </si>
  <si>
    <t>Clothing area factor fcl(i)   [-]</t>
  </si>
  <si>
    <t>options</t>
  </si>
  <si>
    <t>sensation_adaptation</t>
  </si>
  <si>
    <t>sensation_coredTdt</t>
  </si>
  <si>
    <t>comfort_model</t>
  </si>
  <si>
    <t>comfort_setpoint_input</t>
  </si>
  <si>
    <t>passive_comfort_setpoints</t>
  </si>
  <si>
    <t>transient_comfort_model</t>
  </si>
  <si>
    <t>user_control_comfort_model</t>
  </si>
  <si>
    <t>output_freq</t>
  </si>
  <si>
    <t>Unique identifier for the simulation</t>
  </si>
  <si>
    <t>Name of the simulation</t>
  </si>
  <si>
    <t>Detailed description of the simulation</t>
  </si>
  <si>
    <t>Properties</t>
  </si>
  <si>
    <t>Age of the individual</t>
  </si>
  <si>
    <t>Gender of the individual</t>
  </si>
  <si>
    <t>Height of the individual</t>
  </si>
  <si>
    <t>Weight of the individual</t>
  </si>
  <si>
    <t>Body fat percentage</t>
  </si>
  <si>
    <t>Skin color of the individual</t>
  </si>
  <si>
    <t>A special additional multiplier for skin blood flow</t>
  </si>
  <si>
    <t>A special additional multiplier for cardiac output</t>
  </si>
  <si>
    <t>A special additional multiplier for thermal conductance of the body</t>
  </si>
  <si>
    <t>A special additional multiplier for thermal capacity of the body</t>
  </si>
  <si>
    <t>Body to be simulated. This function customizes the geometry and physiology of the human.</t>
  </si>
  <si>
    <t>Default values</t>
  </si>
  <si>
    <t>YOUR INPUT VALUES</t>
  </si>
  <si>
    <t>test clothing ensamble</t>
  </si>
  <si>
    <t>clo_ensemble_name</t>
  </si>
  <si>
    <t>minutes</t>
  </si>
  <si>
    <t>Summer casual</t>
  </si>
  <si>
    <t>condition_name</t>
  </si>
  <si>
    <t>met_activity_name</t>
  </si>
  <si>
    <t>Custom input met</t>
  </si>
  <si>
    <t>elapsed_time</t>
  </si>
  <si>
    <t>Ta</t>
  </si>
  <si>
    <t>MRT</t>
  </si>
  <si>
    <t>RH</t>
  </si>
  <si>
    <t>Velocity</t>
  </si>
  <si>
    <t>Solar</t>
  </si>
  <si>
    <t>Clo</t>
  </si>
  <si>
    <t>Met</t>
  </si>
  <si>
    <t>Overall_Comfort</t>
  </si>
  <si>
    <t>Overall_Comfort_weighted</t>
  </si>
  <si>
    <t>Overall_Sensation</t>
  </si>
  <si>
    <t>Overall_Sensation_Linear</t>
  </si>
  <si>
    <t>Overall_Sensation_Weighted</t>
  </si>
  <si>
    <t>MeanSkinTemp</t>
  </si>
  <si>
    <t>Tblood</t>
  </si>
  <si>
    <t>Tneutral</t>
  </si>
  <si>
    <t>PMV</t>
  </si>
  <si>
    <t>PPD</t>
  </si>
  <si>
    <t>EHT</t>
  </si>
  <si>
    <t>Qmet</t>
  </si>
  <si>
    <t>Qconv</t>
  </si>
  <si>
    <t>Qrad</t>
  </si>
  <si>
    <t>Qsolar</t>
  </si>
  <si>
    <t>Qresp</t>
  </si>
  <si>
    <t>Qsweat</t>
  </si>
  <si>
    <t>Tskin-Head</t>
  </si>
  <si>
    <t>Tcore-Head</t>
  </si>
  <si>
    <t>Sens-Head</t>
  </si>
  <si>
    <t>Sens_weighted-Head</t>
  </si>
  <si>
    <t>Comfort-Head</t>
  </si>
  <si>
    <t>Comfort_weighted-Head</t>
  </si>
  <si>
    <t>EHT-Head</t>
  </si>
  <si>
    <t>Tskin_set-Head</t>
  </si>
  <si>
    <t>Tskin_set_reg-Head</t>
  </si>
  <si>
    <t>Tskin-Chest</t>
  </si>
  <si>
    <t>Tcore-Chest</t>
  </si>
  <si>
    <t>Sens-Chest</t>
  </si>
  <si>
    <t>Sens_weighted-Chest</t>
  </si>
  <si>
    <t>Comfort-Chest</t>
  </si>
  <si>
    <t>Comfort_weighted-Chest</t>
  </si>
  <si>
    <t>EHT-Chest</t>
  </si>
  <si>
    <t>Tskin_set-Chest</t>
  </si>
  <si>
    <t>Tskin_set_reg-Chest</t>
  </si>
  <si>
    <t>Tskin-Back</t>
  </si>
  <si>
    <t>Tcore-Back</t>
  </si>
  <si>
    <t>Sens-Back</t>
  </si>
  <si>
    <t>Sens_weighted-Back</t>
  </si>
  <si>
    <t>Comfort-Back</t>
  </si>
  <si>
    <t>Comfort_weighted-Back</t>
  </si>
  <si>
    <t>EHT-Back</t>
  </si>
  <si>
    <t>Tskin_set-Back</t>
  </si>
  <si>
    <t>Tskin_set_reg-Back</t>
  </si>
  <si>
    <t>Tskin-Pelvis</t>
  </si>
  <si>
    <t>Tcore-Pelvis</t>
  </si>
  <si>
    <t>Sens-Pelvis</t>
  </si>
  <si>
    <t>Sens_weighted-Pelvis</t>
  </si>
  <si>
    <t>Comfort-Pelvis</t>
  </si>
  <si>
    <t>Comfort_weighted-Pelvis</t>
  </si>
  <si>
    <t>EHT-Pelvis</t>
  </si>
  <si>
    <t>Tskin_set-Pelvis</t>
  </si>
  <si>
    <t>Tskin_set_reg-Pelvis</t>
  </si>
  <si>
    <t>Tskin-Left Upper Arm</t>
  </si>
  <si>
    <t>Tcore-Left Upper Arm</t>
  </si>
  <si>
    <t>Sens-Left Upper Arm</t>
  </si>
  <si>
    <t>Sens_weighted-Left Upper Arm</t>
  </si>
  <si>
    <t>Comfort-Left Upper Arm</t>
  </si>
  <si>
    <t>Comfort_weighted-Left Upper Arm</t>
  </si>
  <si>
    <t>EHT-Left Upper Arm</t>
  </si>
  <si>
    <t>Tskin_set-Left Upper Arm</t>
  </si>
  <si>
    <t>Tskin_set_reg-Left Upper Arm</t>
  </si>
  <si>
    <t>Tskin-Right Upper Arm</t>
  </si>
  <si>
    <t>Tcore-Right Upper Arm</t>
  </si>
  <si>
    <t>Sens-Right Upper Arm</t>
  </si>
  <si>
    <t>Sens_weighted-Right Upper Arm</t>
  </si>
  <si>
    <t>Comfort-Right Upper Arm</t>
  </si>
  <si>
    <t>Comfort_weighted-Right Upper Arm</t>
  </si>
  <si>
    <t>EHT-Right Upper Arm</t>
  </si>
  <si>
    <t>Tskin_set-Right Upper Arm</t>
  </si>
  <si>
    <t>Tskin_set_reg-Right Upper Arm</t>
  </si>
  <si>
    <t>Tskin-Left Lower Arm</t>
  </si>
  <si>
    <t>Tcore-Left Lower Arm</t>
  </si>
  <si>
    <t>Sens-Left Lower Arm</t>
  </si>
  <si>
    <t>Sens_weighted-Left Lower Arm</t>
  </si>
  <si>
    <t>Comfort-Left Lower Arm</t>
  </si>
  <si>
    <t>Comfort_weighted-Left Lower Arm</t>
  </si>
  <si>
    <t>EHT-Left Lower Arm</t>
  </si>
  <si>
    <t>Tskin_set-Left Lower Arm</t>
  </si>
  <si>
    <t>Tskin_set_reg-Left Lower Arm</t>
  </si>
  <si>
    <t>Tskin-Right Lower Arm</t>
  </si>
  <si>
    <t>Tcore-Right Lower Arm</t>
  </si>
  <si>
    <t>Sens-Right Lower Arm</t>
  </si>
  <si>
    <t>Sens_weighted-Right Lower Arm</t>
  </si>
  <si>
    <t>Comfort-Right Lower Arm</t>
  </si>
  <si>
    <t>Comfort_weighted-Right Lower Arm</t>
  </si>
  <si>
    <t>EHT-Right Lower Arm</t>
  </si>
  <si>
    <t>Tskin_set-Right Lower Arm</t>
  </si>
  <si>
    <t>Tskin_set_reg-Right Lower Arm</t>
  </si>
  <si>
    <t>Tskin-Left Hand</t>
  </si>
  <si>
    <t>Tcore-Left Hand</t>
  </si>
  <si>
    <t>Sens-Left Hand</t>
  </si>
  <si>
    <t>Sens_weighted-Left Hand</t>
  </si>
  <si>
    <t>Comfort-Left Hand</t>
  </si>
  <si>
    <t>Comfort_weighted-Left Hand</t>
  </si>
  <si>
    <t>EHT-Left Hand</t>
  </si>
  <si>
    <t>Tskin_set-Left Hand</t>
  </si>
  <si>
    <t>Tskin_set_reg-Left Hand</t>
  </si>
  <si>
    <t>Tskin-Right Hand</t>
  </si>
  <si>
    <t>Tcore-Right Hand</t>
  </si>
  <si>
    <t>Sens-Right Hand</t>
  </si>
  <si>
    <t>Sens_weighted-Right Hand</t>
  </si>
  <si>
    <t>Comfort-Right Hand</t>
  </si>
  <si>
    <t>Comfort_weighted-Right Hand</t>
  </si>
  <si>
    <t>EHT-Right Hand</t>
  </si>
  <si>
    <t>Tskin_set-Right Hand</t>
  </si>
  <si>
    <t>Tskin_set_reg-Right Hand</t>
  </si>
  <si>
    <t>Tskin-Left Thigh</t>
  </si>
  <si>
    <t>Tcore-Left Thigh</t>
  </si>
  <si>
    <t>Sens-Left Thigh</t>
  </si>
  <si>
    <t>Sens_weighted-Left Thigh</t>
  </si>
  <si>
    <t>Comfort-Left Thigh</t>
  </si>
  <si>
    <t>Comfort_weighted-Left Thigh</t>
  </si>
  <si>
    <t>EHT-Left Thigh</t>
  </si>
  <si>
    <t>Tskin_set-Left Thigh</t>
  </si>
  <si>
    <t>Tskin_set_reg-Left Thigh</t>
  </si>
  <si>
    <t>Tskin-Right Thigh</t>
  </si>
  <si>
    <t>Tcore-Right Thigh</t>
  </si>
  <si>
    <t>Sens-Right Thigh</t>
  </si>
  <si>
    <t>Sens_weighted-Right Thigh</t>
  </si>
  <si>
    <t>Comfort-Right Thigh</t>
  </si>
  <si>
    <t>Comfort_weighted-Right Thigh</t>
  </si>
  <si>
    <t>EHT-Right Thigh</t>
  </si>
  <si>
    <t>Tskin_set-Right Thigh</t>
  </si>
  <si>
    <t>Tskin_set_reg-Right Thigh</t>
  </si>
  <si>
    <t>Tskin-Left Lower Leg</t>
  </si>
  <si>
    <t>Tcore-Left Lower Leg</t>
  </si>
  <si>
    <t>Sens-Left Lower Leg</t>
  </si>
  <si>
    <t>Sens_weighted-Left Lower Leg</t>
  </si>
  <si>
    <t>Comfort-Left Lower Leg</t>
  </si>
  <si>
    <t>Comfort_weighted-Left Lower Leg</t>
  </si>
  <si>
    <t>EHT-Left Lower Leg</t>
  </si>
  <si>
    <t>Tskin_set-Left Lower Leg</t>
  </si>
  <si>
    <t>Tskin_set_reg-Left Lower Leg</t>
  </si>
  <si>
    <t>Tskin-Right Lower Leg</t>
  </si>
  <si>
    <t>Tcore-Right Lower Leg</t>
  </si>
  <si>
    <t>Sens-Right Lower Leg</t>
  </si>
  <si>
    <t>Sens_weighted-Right Lower Leg</t>
  </si>
  <si>
    <t>Comfort-Right Lower Leg</t>
  </si>
  <si>
    <t>Comfort_weighted-Right Lower Leg</t>
  </si>
  <si>
    <t>EHT-Right Lower Leg</t>
  </si>
  <si>
    <t>Tskin_set-Right Lower Leg</t>
  </si>
  <si>
    <t>Tskin_set_reg-Right Lower Leg</t>
  </si>
  <si>
    <t>Tskin-Left Foot</t>
  </si>
  <si>
    <t>Tcore-Left Foot</t>
  </si>
  <si>
    <t>Sens-Left Foot</t>
  </si>
  <si>
    <t>Sens_weighted-Left Foot</t>
  </si>
  <si>
    <t>Comfort-Left Foot</t>
  </si>
  <si>
    <t>Comfort_weighted-Left Foot</t>
  </si>
  <si>
    <t>EHT-Left Foot</t>
  </si>
  <si>
    <t>Tskin_set-Left Foot</t>
  </si>
  <si>
    <t>Tskin_set_reg-Left Foot</t>
  </si>
  <si>
    <t>Tskin-Right Foot</t>
  </si>
  <si>
    <t>Tcore-Right Foot</t>
  </si>
  <si>
    <t>Sens-Right Foot</t>
  </si>
  <si>
    <t>Sens_weighted-Right Foot</t>
  </si>
  <si>
    <t>Comfort-Right Foot</t>
  </si>
  <si>
    <t>Comfort_weighted-Right Foot</t>
  </si>
  <si>
    <t>EHT-Right Foot</t>
  </si>
  <si>
    <t>Tskin_set-Right Foot</t>
  </si>
  <si>
    <t>Tskin_set_reg-Right Foot</t>
  </si>
  <si>
    <t>Description</t>
  </si>
  <si>
    <t>Name of the clothing ensemble</t>
  </si>
  <si>
    <t>Description of the clothing ensemble's use or conditions</t>
  </si>
  <si>
    <t>Local clothing insulation and area factor data for body segments</t>
  </si>
  <si>
    <t>Simulation options</t>
  </si>
  <si>
    <t>If true, use sensation adaptation model.</t>
  </si>
  <si>
    <t>If true, use core temperature time derivative in sensation model.</t>
  </si>
  <si>
    <t>[Mainly for developer] If true, run comfort model using skin temperature input.</t>
  </si>
  <si>
    <t>[Mainly for developer] If true, read comfort setpoints from input.</t>
  </si>
  <si>
    <t>[Mainly for developer] If true, disable regulatory model when calculating comfort setpoints.</t>
  </si>
  <si>
    <t xml:space="preserve">If true, use comfort model for transient conditions. </t>
  </si>
  <si>
    <t>If true, use comfort model for user controlled conditions.</t>
  </si>
  <si>
    <t>Optional input</t>
  </si>
  <si>
    <t>Downloaded ABC_Toolbox path</t>
  </si>
  <si>
    <t>Required input</t>
  </si>
  <si>
    <t>Initial example template</t>
  </si>
  <si>
    <t>v1.0</t>
  </si>
  <si>
    <t>C:\Users\monyo\PycharmProjects\ABC_toolbox</t>
  </si>
  <si>
    <t>Paper, Thesis</t>
    <phoneticPr fontId="9"/>
  </si>
  <si>
    <t>Whole Body</t>
    <phoneticPr fontId="9"/>
  </si>
  <si>
    <t>L-Shoulder</t>
  </si>
  <si>
    <t>L-Arm</t>
  </si>
  <si>
    <t>L-Hand</t>
  </si>
  <si>
    <t>R-Shoulder</t>
  </si>
  <si>
    <t>R-Arm</t>
  </si>
  <si>
    <t>R-Hand</t>
  </si>
  <si>
    <t>L-Thigh</t>
  </si>
  <si>
    <t>L-Leg</t>
  </si>
  <si>
    <t>L-Foot</t>
  </si>
  <si>
    <t>R-Thigh</t>
  </si>
  <si>
    <t>R-Leg</t>
  </si>
  <si>
    <t>R-Foot</t>
  </si>
  <si>
    <t>Nude (Mesh Chair)</t>
  </si>
  <si>
    <t>Nude (Nude Chair)</t>
  </si>
  <si>
    <t>panty</t>
  </si>
  <si>
    <t>Bra+panty</t>
  </si>
  <si>
    <t>Bra+panty,tanktop,shortssandals</t>
  </si>
  <si>
    <t>Bra+pantylong-sleeve shirt, shortssandals</t>
  </si>
  <si>
    <t>Bra+pantysleeveless dress,sandals</t>
  </si>
  <si>
    <t>Bra+pantyT-shirt, long pants,socks,sneakers</t>
  </si>
  <si>
    <t>Bra+pantysleeveless dress,cardigan, sandals</t>
  </si>
  <si>
    <t>Bra+pantysong-sleeve dress,socks,sneakers</t>
  </si>
  <si>
    <t>Bra+pantylong-sleeve dress,cardigansocks,sneakers</t>
  </si>
  <si>
    <t>Bra+pantytank top,skirt,sandals</t>
  </si>
  <si>
    <t>Bra+pantylong sleeve shirts,Skirt,Sandals</t>
  </si>
  <si>
    <t>Bra+pantydress shirts,skirt,stocking,formal shoes</t>
  </si>
  <si>
    <t>Bra+pantydress shirts,skirt, leggings,sandals</t>
  </si>
  <si>
    <t>Bra+pantyThin dress shirts,longpants, socks, sneakers</t>
  </si>
  <si>
    <t>Bra+pantylong sleeve shirts,longpants,socks,sneakers</t>
  </si>
  <si>
    <t>Bra+pantyT-shirt, long sleeveshirts,long pants,socks,sneakers</t>
  </si>
  <si>
    <t>Bra+pantyT-shirt,jeans,socks,sneakers</t>
  </si>
  <si>
    <t>Bra+pantylong sleeve shirts,jeans,socks, sneakers</t>
  </si>
  <si>
    <t>Bra+pantyOxford shirts,Long thin pants,Socks,sneakers</t>
  </si>
  <si>
    <t>Bra+pantyThin dress shirts,Longpants, socks, sneakers</t>
  </si>
  <si>
    <t>Bra+pantyThin dress shirts(roll-up),Long pants,socks,sneakers</t>
  </si>
  <si>
    <t>Bra+panty T-shirts,Short sleeve shirt, longpants, socks,sneakers</t>
  </si>
  <si>
    <t>Bra+panty, Sports shirts,long pants,socks,sneakers</t>
  </si>
  <si>
    <t>Bra+panty, sports shirts,sports pants, sports socks,sports shoes</t>
  </si>
  <si>
    <t>Bra+panty,Thin-dressshirts, Long pants, Woolsweater, Socks,sneakers</t>
  </si>
  <si>
    <t>Bra+panty, Thin dressshirts,Long pants,Cashmere sweater,Socks,sneakers</t>
  </si>
  <si>
    <t>Bra+panty, T-shirt,Longsleeve shirts, Long pants,Winter Jacket, socks,sneakers</t>
  </si>
  <si>
    <t>Bra+pantyT-shirts, long sleeveshirts, jeans, sportsjumper, socks,sneakers</t>
  </si>
  <si>
    <t>Bra+panty, T-shirt,longsleeve shirts, long pants,ventura jacket, socks,sneakers</t>
  </si>
  <si>
    <t>Bra+panty, turtle neck,long pants, short trenchcoat, socks, sneakers</t>
  </si>
  <si>
    <t>pantyT-shirt, long sleeve shirts,long pants, winter jacketsocks,sneakers</t>
  </si>
  <si>
    <t>Bra+panty, tank top, longsleeve shirts, blazer, skirt,sandals</t>
  </si>
  <si>
    <t>Bra+pantylong sleeve shirts, woolskirt, socks, formal shoes</t>
  </si>
  <si>
    <t>Bra+pantyturtleneck, wool skirt,socks, formal shoes</t>
  </si>
  <si>
    <t>Bra+pantylong sleeve shirt, woolskirt, sweater, socks,formal shoes</t>
  </si>
  <si>
    <t>Bra+panty, Thin dressshirts,slacks, tie, socks,sneakers</t>
  </si>
  <si>
    <t>Bra+pantyThin dress shirts,slacks,blazer,tie, belt, socks,formal shoes</t>
  </si>
  <si>
    <t>Bra+pantyLong sleeve shirts,Longpants, Blazer,socks,sneakers</t>
  </si>
  <si>
    <t>Bra+pantyT-shirts, Long sleeveshirts,Long Pants, WinterJacket(Notica),</t>
  </si>
  <si>
    <t>Bra+pantyT-shirts,Long sleeveshirts, Long Pants, WinterJacket, socks,sneakers</t>
  </si>
  <si>
    <t>Bra+panty, Turtle neck,Ski-Jumper, Skin pantssports socks, sports shoes</t>
  </si>
  <si>
    <t>Bra+pantyTurtle neck, Ski-Jumperand hood, Skin pantssports socks, sports shoes</t>
  </si>
  <si>
    <t>Bra+panty, Turtle neck,Goose down, ski pants,sports socks, sports shoes</t>
  </si>
  <si>
    <t>Bra+panty, Turtle neck,Goose down-with hood,ski pants, sports socks,sports shoes</t>
  </si>
  <si>
    <t>Bra+panty, Turtle neck,Goose down-with hoodand gloves, ski pants,sports socks, sports shoes</t>
  </si>
  <si>
    <t>J Lee et al. Typical Clothing Ensemble Insulation Levels for Sixteen Body Parts, 2013</t>
  </si>
  <si>
    <t>Ensemble No.</t>
  </si>
  <si>
    <t>Segments No.</t>
  </si>
  <si>
    <t>Segment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</si>
</sst>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C000"/>
      <name val="Aptos Narrow"/>
      <family val="2"/>
      <scheme val="minor"/>
    </font>
    <font>
      <sz val="10"/>
      <color theme="1"/>
      <name val="Arial"/>
      <family val="2"/>
      <charset val="128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  <charset val="128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F6D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>
      <alignment vertical="center"/>
    </xf>
  </cellStyleXfs>
  <cellXfs count="6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textRotation="90"/>
    </xf>
    <xf numFmtId="0" fontId="0" fillId="3" borderId="0" xfId="0" applyFill="1" applyAlignment="1">
      <alignment horizontal="center" textRotation="90"/>
    </xf>
    <xf numFmtId="0" fontId="0" fillId="5" borderId="0" xfId="0" applyFill="1"/>
    <xf numFmtId="0" fontId="0" fillId="5" borderId="0" xfId="0" applyFill="1" applyAlignment="1">
      <alignment horizontal="center" textRotation="90"/>
    </xf>
    <xf numFmtId="0" fontId="0" fillId="4" borderId="0" xfId="0" applyFill="1" applyAlignment="1">
      <alignment horizontal="center" textRotation="90"/>
    </xf>
    <xf numFmtId="0" fontId="0" fillId="6" borderId="0" xfId="0" applyFill="1"/>
    <xf numFmtId="0" fontId="0" fillId="6" borderId="0" xfId="0" applyFill="1" applyAlignment="1">
      <alignment horizontal="center" textRotation="90"/>
    </xf>
    <xf numFmtId="0" fontId="0" fillId="0" borderId="0" xfId="0" applyAlignment="1">
      <alignment horizontal="left" vertical="center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1" fillId="6" borderId="0" xfId="0" applyFont="1" applyFill="1"/>
    <xf numFmtId="0" fontId="1" fillId="5" borderId="0" xfId="0" applyFont="1" applyFill="1"/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164" fontId="0" fillId="4" borderId="0" xfId="0" applyNumberFormat="1" applyFill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64" fontId="0" fillId="4" borderId="4" xfId="0" applyNumberFormat="1" applyFill="1" applyBorder="1" applyAlignment="1">
      <alignment horizontal="left" vertical="center"/>
    </xf>
    <xf numFmtId="164" fontId="0" fillId="0" borderId="4" xfId="0" applyNumberFormat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7" fillId="8" borderId="0" xfId="0" applyFont="1" applyFill="1" applyAlignment="1">
      <alignment horizontal="left" vertical="center"/>
    </xf>
    <xf numFmtId="164" fontId="0" fillId="4" borderId="5" xfId="0" applyNumberForma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4" fontId="0" fillId="4" borderId="2" xfId="0" applyNumberFormat="1" applyFill="1" applyBorder="1" applyAlignment="1">
      <alignment horizontal="left" vertical="center" wrapText="1"/>
    </xf>
    <xf numFmtId="0" fontId="8" fillId="0" borderId="0" xfId="1">
      <alignment vertical="center"/>
    </xf>
    <xf numFmtId="0" fontId="10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3" fillId="0" borderId="0" xfId="1" applyFont="1">
      <alignment vertical="center"/>
    </xf>
    <xf numFmtId="0" fontId="14" fillId="0" borderId="0" xfId="1" applyFont="1">
      <alignment vertical="center"/>
    </xf>
    <xf numFmtId="0" fontId="15" fillId="0" borderId="0" xfId="1" applyFont="1" applyAlignment="1">
      <alignment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>
      <alignment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5" fillId="0" borderId="0" xfId="1" applyFont="1" applyAlignment="1">
      <alignment horizontal="left" vertical="center" wrapText="1"/>
    </xf>
    <xf numFmtId="0" fontId="15" fillId="0" borderId="7" xfId="1" applyFont="1" applyBorder="1" applyAlignment="1">
      <alignment vertical="center" wrapText="1"/>
    </xf>
    <xf numFmtId="2" fontId="16" fillId="0" borderId="7" xfId="1" applyNumberFormat="1" applyFont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 vertical="center"/>
    </xf>
    <xf numFmtId="2" fontId="17" fillId="0" borderId="7" xfId="1" applyNumberFormat="1" applyFont="1" applyBorder="1" applyAlignment="1">
      <alignment horizontal="right" vertical="center"/>
    </xf>
    <xf numFmtId="2" fontId="18" fillId="0" borderId="7" xfId="1" applyNumberFormat="1" applyFont="1" applyBorder="1" applyAlignment="1">
      <alignment horizontal="right" vertical="center"/>
    </xf>
  </cellXfs>
  <cellStyles count="2">
    <cellStyle name="Normal" xfId="0" builtinId="0"/>
    <cellStyle name="標準 2" xfId="1" xr:uid="{66363782-5356-4CC4-AEFE-2D9517F7C5CB}"/>
  </cellStyles>
  <dxfs count="0"/>
  <tableStyles count="0" defaultTableStyle="TableStyleMedium2" defaultPivotStyle="PivotStyleLight16"/>
  <colors>
    <mruColors>
      <color rgb="FFF8F6D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15</xdr:col>
      <xdr:colOff>581025</xdr:colOff>
      <xdr:row>34</xdr:row>
      <xdr:rowOff>171450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DE8C2221-BF65-4BAF-AA37-734108B2EBDA}"/>
            </a:ext>
          </a:extLst>
        </xdr:cNvPr>
        <xdr:cNvGrpSpPr/>
      </xdr:nvGrpSpPr>
      <xdr:grpSpPr>
        <a:xfrm>
          <a:off x="204788" y="180975"/>
          <a:ext cx="9648825" cy="6143625"/>
          <a:chOff x="3048000" y="219075"/>
          <a:chExt cx="9648825" cy="6143625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6DA4155-F2CD-8FC6-34EA-DF04476AE80C}"/>
              </a:ext>
            </a:extLst>
          </xdr:cNvPr>
          <xdr:cNvSpPr txBox="1"/>
        </xdr:nvSpPr>
        <xdr:spPr>
          <a:xfrm>
            <a:off x="3048000" y="219075"/>
            <a:ext cx="9648825" cy="61436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altLang="ja-JP" sz="1800" b="1"/>
              <a:t>Welcome to</a:t>
            </a:r>
            <a:r>
              <a:rPr lang="en-US" altLang="ja-JP" sz="1800" b="1" baseline="0"/>
              <a:t> the Advanced Berkeley Comfort (ABC) </a:t>
            </a:r>
            <a:r>
              <a:rPr lang="en-US" altLang="ja-JP" sz="1800" b="1"/>
              <a:t>model with Microsoft Excel</a:t>
            </a:r>
            <a:r>
              <a:rPr lang="en-US" altLang="ja-JP" sz="1800" b="1" baseline="0"/>
              <a:t> </a:t>
            </a:r>
            <a:r>
              <a:rPr lang="en-US" altLang="ja-JP" sz="1800" b="1"/>
              <a:t>!!</a:t>
            </a:r>
          </a:p>
          <a:p>
            <a:endParaRPr lang="en-US" altLang="ja-JP" sz="1100"/>
          </a:p>
          <a:p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🧐 </a:t>
            </a:r>
            <a:r>
              <a:rPr lang="en-US" sz="1400" b="1"/>
              <a:t>Overview</a:t>
            </a: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This Excel workbook has been developed to use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the Advanced Berkeley Comfort (ABC) model within Excel.</a:t>
            </a:r>
            <a:endParaRPr lang="en-US">
              <a:effectLst/>
            </a:endParaRPr>
          </a:p>
          <a:p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By entering measured values such as air temperature, relative humidity, and radiant temperature into the model, you can evaluate the thermal comfort of the environment.</a:t>
            </a:r>
            <a:endParaRPr lang="en-US">
              <a:effectLst/>
            </a:endParaRPr>
          </a:p>
          <a:p>
            <a:endParaRPr lang="en-US"/>
          </a:p>
          <a:p>
            <a:r>
              <a:rPr lang="en-US" sz="1400" b="1"/>
              <a:t>⚠️</a:t>
            </a:r>
            <a:r>
              <a:rPr lang="ja-JP" altLang="en-US" sz="1400" b="1" baseline="0"/>
              <a:t> </a:t>
            </a:r>
            <a:r>
              <a:rPr lang="en-US" sz="1400" b="1"/>
              <a:t>Notes</a:t>
            </a:r>
          </a:p>
          <a:p>
            <a:r>
              <a:rPr lang="en-US"/>
              <a:t>- This sheet is integrated with the </a:t>
            </a:r>
            <a:r>
              <a:rPr lang="en-US" b="1"/>
              <a:t>ABC_toolbox</a:t>
            </a:r>
            <a:r>
              <a:rPr lang="en-US"/>
              <a:t>. Please download the toolbox from our </a:t>
            </a:r>
            <a:r>
              <a:rPr lang="en-US" b="1"/>
              <a:t>GitHub repository </a:t>
            </a:r>
            <a:r>
              <a:rPr lang="en-US"/>
              <a:t>(https://github.com/CenterForTheBuiltEnvironment/ABC_toolbox) and </a:t>
            </a: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specify the correct file path for the downloaded folder</a:t>
            </a:r>
            <a:r>
              <a:rPr lang="en-US"/>
              <a:t>. </a:t>
            </a:r>
            <a:r>
              <a:rPr lang="en-US" b="1"/>
              <a:t>The model will not run if the file path for the toolbox is incorrect.</a:t>
            </a:r>
          </a:p>
          <a:p>
            <a:r>
              <a:rPr lang="en-US"/>
              <a:t>- To</a:t>
            </a:r>
            <a:r>
              <a:rPr lang="en-US" baseline="0"/>
              <a:t> run </a:t>
            </a:r>
            <a:r>
              <a:rPr lang="en-US"/>
              <a:t>the model, </a:t>
            </a:r>
            <a:r>
              <a:rPr lang="en-US" b="1"/>
              <a:t>you must enter values into the yellow cells</a:t>
            </a:r>
            <a:r>
              <a:rPr lang="en-US"/>
              <a:t>. </a:t>
            </a:r>
            <a:r>
              <a:rPr lang="en-US" b="1"/>
              <a:t>The fields without color are optional </a:t>
            </a:r>
            <a:r>
              <a:rPr lang="en-US"/>
              <a:t>and do not necessarily need to be filled in.</a:t>
            </a:r>
          </a:p>
          <a:p>
            <a:endParaRPr lang="en-US" b="1"/>
          </a:p>
          <a:p>
            <a:r>
              <a:rPr lang="en-US" sz="1400" b="1"/>
              <a:t>📝 Sheet Descriptions</a:t>
            </a:r>
          </a:p>
          <a:p>
            <a:r>
              <a:rPr lang="en-US" b="1"/>
              <a:t>- Simulation</a:t>
            </a:r>
            <a:r>
              <a:rPr lang="en-US" b="1" baseline="0"/>
              <a:t> Information</a:t>
            </a:r>
            <a:r>
              <a:rPr lang="en-US"/>
              <a:t>: You can define all information except thermal environmental data here. The </a:t>
            </a:r>
            <a:r>
              <a:rPr lang="en-US" b="1"/>
              <a:t>"Simulate" button on this sheet allows you to execute the model</a:t>
            </a:r>
            <a:r>
              <a:rPr lang="en-US"/>
              <a:t>.</a:t>
            </a:r>
          </a:p>
          <a:p>
            <a:r>
              <a:rPr lang="en-US" b="1"/>
              <a:t>- Thermal Environment</a:t>
            </a:r>
            <a:r>
              <a:rPr lang="en-US"/>
              <a:t>: This sheet is for defining thermal environment information.</a:t>
            </a:r>
          </a:p>
          <a:p>
            <a:r>
              <a:rPr lang="en-US" b="1"/>
              <a:t>- Results</a:t>
            </a:r>
            <a:r>
              <a:rPr lang="en-US"/>
              <a:t>: The output results of the ABC model will be written here.</a:t>
            </a:r>
          </a:p>
          <a:p>
            <a:r>
              <a:rPr lang="en-US" b="1"/>
              <a:t>- Clothing Reference</a:t>
            </a:r>
            <a:r>
              <a:rPr lang="en-US"/>
              <a:t>: This sheet contains past clothing insulation data. Use it as a reference for entering clothing insulation values in the SimInfo sheet.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- Change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Log</a:t>
            </a:r>
            <a:r>
              <a:rPr lang="en-US" sz="11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For</a:t>
            </a:r>
            <a:r>
              <a:rPr lang="en-US" sz="11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version control.</a:t>
            </a:r>
            <a:endParaRPr lang="en-US"/>
          </a:p>
          <a:p>
            <a:endParaRPr lang="en-US" b="1"/>
          </a:p>
          <a:p>
            <a:r>
              <a:rPr lang="en-US" sz="1400" b="1"/>
              <a:t>🔍 Additional Information</a:t>
            </a:r>
          </a:p>
          <a:p>
            <a:r>
              <a:rPr lang="en-US"/>
              <a:t>- The same calculations can also be performed through a web interface (https://abcweb-384255928646.us-west1.run.app/). </a:t>
            </a:r>
          </a:p>
          <a:p>
            <a:r>
              <a:rPr lang="en-US"/>
              <a:t>- For detailed information about the model, please refer to the official documentation</a:t>
            </a:r>
            <a:r>
              <a:rPr lang="ja-JP" altLang="en-US" baseline="0"/>
              <a:t> </a:t>
            </a:r>
            <a:r>
              <a:rPr lang="en-US" altLang="ja-JP" baseline="0"/>
              <a:t>(https://cbe-berkeley.gitbook.io/advanced-berkeley-comfort-abc-model)</a:t>
            </a:r>
            <a:r>
              <a:rPr lang="en-US"/>
              <a:t>.</a:t>
            </a:r>
          </a:p>
          <a:p>
            <a:endParaRPr lang="en-US" altLang="ja-JP" sz="1100"/>
          </a:p>
        </xdr:txBody>
      </xdr:sp>
      <xdr:pic>
        <xdr:nvPicPr>
          <xdr:cNvPr id="9" name="logo" descr="Center for the Built Environment">
            <a:extLst>
              <a:ext uri="{FF2B5EF4-FFF2-40B4-BE49-F238E27FC236}">
                <a16:creationId xmlns:a16="http://schemas.microsoft.com/office/drawing/2014/main" id="{D534F2A0-0469-5819-F17D-6A8770A0F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96770" y="4766829"/>
            <a:ext cx="3809572" cy="137073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</xdr:row>
          <xdr:rowOff>142875</xdr:rowOff>
        </xdr:from>
        <xdr:to>
          <xdr:col>4</xdr:col>
          <xdr:colOff>2405063</xdr:colOff>
          <xdr:row>4</xdr:row>
          <xdr:rowOff>128588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2595563</xdr:colOff>
          <xdr:row>1</xdr:row>
          <xdr:rowOff>138113</xdr:rowOff>
        </xdr:from>
        <xdr:to>
          <xdr:col>4</xdr:col>
          <xdr:colOff>4391025</xdr:colOff>
          <xdr:row>4</xdr:row>
          <xdr:rowOff>123825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input JSON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964107</xdr:colOff>
      <xdr:row>58</xdr:row>
      <xdr:rowOff>21898</xdr:rowOff>
    </xdr:from>
    <xdr:to>
      <xdr:col>6</xdr:col>
      <xdr:colOff>1346639</xdr:colOff>
      <xdr:row>58</xdr:row>
      <xdr:rowOff>961973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C69C3EB5-2A1D-4314-BD0F-E2278AEF4E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056" t="9257" r="26063" b="12421"/>
        <a:stretch/>
      </xdr:blipFill>
      <xdr:spPr>
        <a:xfrm>
          <a:off x="10989170" y="29682748"/>
          <a:ext cx="0" cy="730525"/>
        </a:xfrm>
        <a:prstGeom prst="rect">
          <a:avLst/>
        </a:prstGeom>
      </xdr:spPr>
    </xdr:pic>
    <xdr:clientData/>
  </xdr:twoCellAnchor>
  <xdr:twoCellAnchor>
    <xdr:from>
      <xdr:col>6</xdr:col>
      <xdr:colOff>963450</xdr:colOff>
      <xdr:row>57</xdr:row>
      <xdr:rowOff>32846</xdr:rowOff>
    </xdr:from>
    <xdr:to>
      <xdr:col>6</xdr:col>
      <xdr:colOff>1379483</xdr:colOff>
      <xdr:row>57</xdr:row>
      <xdr:rowOff>978379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4A7928DD-1E20-4CBF-B73D-D443D155CF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90" t="18782" r="28124" b="5958"/>
        <a:stretch/>
      </xdr:blipFill>
      <xdr:spPr>
        <a:xfrm>
          <a:off x="10988513" y="28941221"/>
          <a:ext cx="0" cy="7216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kihisa Nomoto" id="{A25FA537-C296-4375-B935-57E23A59648D}" userId="Akihisa Nomot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4-10-21T05:47:07.20" personId="{A25FA537-C296-4375-B935-57E23A59648D}" id="{3F8E3EAB-1C52-496B-A651-814DE8E79EAF}">
    <text>The default values (columns D) are set if you do not define the optional input values.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2" dT="2024-10-22T00:59:21.31" personId="{A25FA537-C296-4375-B935-57E23A59648D}" id="{7857FEBB-9F6B-437A-9E22-7E032DEB9C8D}">
    <text>In this sheet, clothing insulation for the Neck is assumed to be the same as for the Head.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8BA0-8A27-4A1B-9AC0-8246946B513D}">
  <sheetPr codeName="Sheet4">
    <tabColor rgb="FFFFC000"/>
  </sheetPr>
  <dimension ref="A1"/>
  <sheetViews>
    <sheetView zoomScaleNormal="100" workbookViewId="0">
      <selection activeCell="S11" sqref="S11"/>
    </sheetView>
  </sheetViews>
  <sheetFormatPr defaultRowHeight="14.25"/>
  <cols>
    <col min="1" max="1" width="2.86328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B6778-AC56-47E6-8D0E-51CFA9DE673D}">
  <sheetPr codeName="Sheet1">
    <tabColor theme="9" tint="0.79998168889431442"/>
  </sheetPr>
  <dimension ref="B1:E61"/>
  <sheetViews>
    <sheetView zoomScale="115" zoomScaleNormal="115" workbookViewId="0">
      <selection activeCell="D14" sqref="D14"/>
    </sheetView>
  </sheetViews>
  <sheetFormatPr defaultColWidth="14.19921875" defaultRowHeight="14.25"/>
  <cols>
    <col min="1" max="1" width="4.46484375" style="11" customWidth="1"/>
    <col min="2" max="2" width="25.3984375" style="11" bestFit="1" customWidth="1"/>
    <col min="3" max="3" width="23.6640625" style="11" bestFit="1" customWidth="1"/>
    <col min="4" max="4" width="31.53125" style="11" bestFit="1" customWidth="1"/>
    <col min="5" max="5" width="71.86328125" style="11" customWidth="1"/>
    <col min="6" max="6" width="2.53125" style="11" customWidth="1"/>
    <col min="7" max="7" width="25.3984375" style="11" bestFit="1" customWidth="1"/>
    <col min="8" max="8" width="41" style="11" customWidth="1"/>
    <col min="9" max="16384" width="14.19921875" style="11"/>
  </cols>
  <sheetData>
    <row r="1" spans="2:5" ht="14.65" thickBot="1"/>
    <row r="2" spans="2:5" ht="14.65" thickBot="1">
      <c r="B2" s="37"/>
      <c r="C2" s="38" t="s">
        <v>282</v>
      </c>
    </row>
    <row r="3" spans="2:5" ht="14.65" thickBot="1">
      <c r="B3" s="26"/>
      <c r="C3" s="39" t="s">
        <v>280</v>
      </c>
    </row>
    <row r="5" spans="2:5" ht="14.65" thickBot="1"/>
    <row r="6" spans="2:5" ht="28.9" thickBot="1">
      <c r="B6" s="40" t="s">
        <v>281</v>
      </c>
      <c r="C6" s="41" t="s">
        <v>285</v>
      </c>
    </row>
    <row r="7" spans="2:5" ht="14.65" thickBot="1">
      <c r="B7" s="27"/>
      <c r="C7" s="27"/>
      <c r="D7" s="27"/>
      <c r="E7" s="27"/>
    </row>
    <row r="8" spans="2:5">
      <c r="B8" s="35" t="s">
        <v>78</v>
      </c>
      <c r="C8" s="36" t="s">
        <v>91</v>
      </c>
      <c r="D8" s="35" t="s">
        <v>90</v>
      </c>
      <c r="E8" s="35" t="s">
        <v>268</v>
      </c>
    </row>
    <row r="9" spans="2:5">
      <c r="B9" s="18" t="s">
        <v>46</v>
      </c>
      <c r="D9" s="11">
        <v>1</v>
      </c>
      <c r="E9" s="11" t="s">
        <v>75</v>
      </c>
    </row>
    <row r="10" spans="2:5">
      <c r="B10" s="18" t="s">
        <v>47</v>
      </c>
      <c r="D10" s="11" t="s">
        <v>0</v>
      </c>
      <c r="E10" s="11" t="s">
        <v>76</v>
      </c>
    </row>
    <row r="11" spans="2:5">
      <c r="B11" s="18" t="s">
        <v>7</v>
      </c>
      <c r="D11" s="11" t="s">
        <v>1</v>
      </c>
      <c r="E11" s="11" t="s">
        <v>77</v>
      </c>
    </row>
    <row r="12" spans="2:5" ht="14.65" thickBot="1">
      <c r="B12" s="34" t="s">
        <v>74</v>
      </c>
      <c r="C12" s="27"/>
      <c r="D12" s="27">
        <v>60</v>
      </c>
      <c r="E12" s="34"/>
    </row>
    <row r="13" spans="2:5" ht="14.65" thickBot="1">
      <c r="B13" s="27"/>
      <c r="C13" s="27"/>
      <c r="D13" s="27"/>
      <c r="E13" s="27"/>
    </row>
    <row r="14" spans="2:5">
      <c r="B14" s="30" t="s">
        <v>48</v>
      </c>
      <c r="C14" s="31"/>
      <c r="D14" s="31"/>
      <c r="E14" s="33" t="s">
        <v>89</v>
      </c>
    </row>
    <row r="15" spans="2:5">
      <c r="B15" s="11" t="s">
        <v>49</v>
      </c>
      <c r="D15" s="11">
        <v>25</v>
      </c>
      <c r="E15" s="11" t="s">
        <v>79</v>
      </c>
    </row>
    <row r="16" spans="2:5">
      <c r="B16" s="11" t="s">
        <v>50</v>
      </c>
      <c r="D16" s="11">
        <v>0.13</v>
      </c>
      <c r="E16" s="11" t="s">
        <v>83</v>
      </c>
    </row>
    <row r="17" spans="2:5">
      <c r="B17" s="11" t="s">
        <v>51</v>
      </c>
      <c r="D17" s="11" t="s">
        <v>59</v>
      </c>
      <c r="E17" s="11" t="s">
        <v>80</v>
      </c>
    </row>
    <row r="18" spans="2:5">
      <c r="B18" s="11" t="s">
        <v>52</v>
      </c>
      <c r="D18" s="11">
        <v>1.72</v>
      </c>
      <c r="E18" s="11" t="s">
        <v>81</v>
      </c>
    </row>
    <row r="19" spans="2:5">
      <c r="B19" s="11" t="s">
        <v>53</v>
      </c>
      <c r="D19" s="11">
        <v>74.400000000000006</v>
      </c>
      <c r="E19" s="11" t="s">
        <v>82</v>
      </c>
    </row>
    <row r="20" spans="2:5">
      <c r="B20" s="11" t="s">
        <v>54</v>
      </c>
      <c r="D20" s="11" t="s">
        <v>60</v>
      </c>
      <c r="E20" s="11" t="s">
        <v>84</v>
      </c>
    </row>
    <row r="21" spans="2:5">
      <c r="B21" s="11" t="s">
        <v>55</v>
      </c>
      <c r="D21" s="11">
        <v>1</v>
      </c>
      <c r="E21" s="11" t="s">
        <v>86</v>
      </c>
    </row>
    <row r="22" spans="2:5" ht="14.65" customHeight="1">
      <c r="B22" s="11" t="s">
        <v>56</v>
      </c>
      <c r="D22" s="11">
        <v>1</v>
      </c>
      <c r="E22" s="11" t="s">
        <v>85</v>
      </c>
    </row>
    <row r="23" spans="2:5">
      <c r="B23" s="11" t="s">
        <v>57</v>
      </c>
      <c r="D23" s="11">
        <v>1</v>
      </c>
      <c r="E23" s="11" t="s">
        <v>87</v>
      </c>
    </row>
    <row r="24" spans="2:5" ht="14.65" thickBot="1">
      <c r="B24" s="27" t="s">
        <v>58</v>
      </c>
      <c r="C24" s="27"/>
      <c r="D24" s="27">
        <v>1</v>
      </c>
      <c r="E24" s="27" t="s">
        <v>88</v>
      </c>
    </row>
    <row r="25" spans="2:5" ht="14.65" thickBot="1">
      <c r="B25" s="27"/>
      <c r="C25" s="27"/>
      <c r="D25" s="27"/>
      <c r="E25" s="27"/>
    </row>
    <row r="26" spans="2:5">
      <c r="B26" s="30" t="s">
        <v>61</v>
      </c>
      <c r="C26" s="31"/>
      <c r="D26" s="31"/>
      <c r="E26" s="30"/>
    </row>
    <row r="27" spans="2:5">
      <c r="B27" s="11" t="s">
        <v>62</v>
      </c>
      <c r="C27" s="11" t="s">
        <v>95</v>
      </c>
      <c r="D27" s="11" t="s">
        <v>20</v>
      </c>
      <c r="E27" s="11" t="s">
        <v>269</v>
      </c>
    </row>
    <row r="28" spans="2:5">
      <c r="B28" s="11" t="s">
        <v>7</v>
      </c>
      <c r="C28" s="11" t="s">
        <v>92</v>
      </c>
      <c r="D28" s="11" t="s">
        <v>21</v>
      </c>
      <c r="E28" s="11" t="s">
        <v>270</v>
      </c>
    </row>
    <row r="29" spans="2:5">
      <c r="B29" s="23" t="s">
        <v>63</v>
      </c>
      <c r="C29" s="24"/>
      <c r="D29" s="24"/>
      <c r="E29" s="24" t="s">
        <v>271</v>
      </c>
    </row>
    <row r="30" spans="2:5">
      <c r="B30" s="11" t="s">
        <v>64</v>
      </c>
      <c r="C30" s="19" t="s">
        <v>45</v>
      </c>
      <c r="D30" s="19" t="s">
        <v>65</v>
      </c>
    </row>
    <row r="31" spans="2:5">
      <c r="B31" s="20" t="s">
        <v>2</v>
      </c>
      <c r="C31" s="22">
        <v>0.2</v>
      </c>
      <c r="D31" s="21">
        <f>IF(C31&lt;=0.5, 1+C31*0.2, 1.05+C31*0.1)</f>
        <v>1.04</v>
      </c>
      <c r="E31" s="20" t="str">
        <f>B31 &amp; " " &amp;"clothing insulation and clothing area factor"</f>
        <v>Head clothing insulation and clothing area factor</v>
      </c>
    </row>
    <row r="32" spans="2:5">
      <c r="B32" s="20" t="s">
        <v>3</v>
      </c>
      <c r="C32" s="22">
        <v>0.21</v>
      </c>
      <c r="D32" s="21">
        <f t="shared" ref="D32:D47" si="0">IF(C32&lt;=0.5, 1+C32*0.2, 1.05+C32*0.1)</f>
        <v>1.042</v>
      </c>
      <c r="E32" s="20" t="str">
        <f t="shared" ref="E32:E47" si="1">B32 &amp; " " &amp;"clothing insulation and clothing area factor"</f>
        <v>Neck clothing insulation and clothing area factor</v>
      </c>
    </row>
    <row r="33" spans="2:5">
      <c r="B33" s="20" t="s">
        <v>4</v>
      </c>
      <c r="C33" s="22">
        <v>0.22</v>
      </c>
      <c r="D33" s="21">
        <f t="shared" si="0"/>
        <v>1.044</v>
      </c>
      <c r="E33" s="20" t="str">
        <f t="shared" si="1"/>
        <v>Chest clothing insulation and clothing area factor</v>
      </c>
    </row>
    <row r="34" spans="2:5">
      <c r="B34" s="20" t="s">
        <v>5</v>
      </c>
      <c r="C34" s="22">
        <v>0.23</v>
      </c>
      <c r="D34" s="21">
        <f t="shared" si="0"/>
        <v>1.046</v>
      </c>
      <c r="E34" s="20" t="str">
        <f t="shared" si="1"/>
        <v>Back clothing insulation and clothing area factor</v>
      </c>
    </row>
    <row r="35" spans="2:5">
      <c r="B35" s="20" t="s">
        <v>6</v>
      </c>
      <c r="C35" s="22">
        <v>0.24</v>
      </c>
      <c r="D35" s="21">
        <f t="shared" si="0"/>
        <v>1.048</v>
      </c>
      <c r="E35" s="20" t="str">
        <f t="shared" si="1"/>
        <v>Pelvis clothing insulation and clothing area factor</v>
      </c>
    </row>
    <row r="36" spans="2:5">
      <c r="B36" s="20" t="s">
        <v>8</v>
      </c>
      <c r="C36" s="22">
        <v>0.25</v>
      </c>
      <c r="D36" s="21">
        <f t="shared" si="0"/>
        <v>1.05</v>
      </c>
      <c r="E36" s="20" t="str">
        <f t="shared" si="1"/>
        <v>Left Upper Arm clothing insulation and clothing area factor</v>
      </c>
    </row>
    <row r="37" spans="2:5">
      <c r="B37" s="20" t="s">
        <v>9</v>
      </c>
      <c r="C37" s="22">
        <v>0.26</v>
      </c>
      <c r="D37" s="21">
        <f t="shared" si="0"/>
        <v>1.052</v>
      </c>
      <c r="E37" s="20" t="str">
        <f t="shared" si="1"/>
        <v>Right Upper Arm clothing insulation and clothing area factor</v>
      </c>
    </row>
    <row r="38" spans="2:5">
      <c r="B38" s="20" t="s">
        <v>10</v>
      </c>
      <c r="C38" s="22">
        <v>0.27</v>
      </c>
      <c r="D38" s="21">
        <f t="shared" si="0"/>
        <v>1.054</v>
      </c>
      <c r="E38" s="20" t="str">
        <f t="shared" si="1"/>
        <v>Left Lower Arm clothing insulation and clothing area factor</v>
      </c>
    </row>
    <row r="39" spans="2:5" ht="14.25" customHeight="1">
      <c r="B39" s="20" t="s">
        <v>11</v>
      </c>
      <c r="C39" s="22">
        <v>0.28000000000000003</v>
      </c>
      <c r="D39" s="21">
        <f t="shared" si="0"/>
        <v>1.056</v>
      </c>
      <c r="E39" s="20" t="str">
        <f t="shared" si="1"/>
        <v>Right Lower Arm clothing insulation and clothing area factor</v>
      </c>
    </row>
    <row r="40" spans="2:5">
      <c r="B40" s="20" t="s">
        <v>12</v>
      </c>
      <c r="C40" s="22">
        <v>0.28999999999999998</v>
      </c>
      <c r="D40" s="21">
        <f t="shared" si="0"/>
        <v>1.0580000000000001</v>
      </c>
      <c r="E40" s="20" t="str">
        <f t="shared" si="1"/>
        <v>Left Hand clothing insulation and clothing area factor</v>
      </c>
    </row>
    <row r="41" spans="2:5">
      <c r="B41" s="20" t="s">
        <v>13</v>
      </c>
      <c r="C41" s="22">
        <v>0.3</v>
      </c>
      <c r="D41" s="21">
        <f t="shared" si="0"/>
        <v>1.06</v>
      </c>
      <c r="E41" s="20" t="str">
        <f t="shared" si="1"/>
        <v>Right Hand clothing insulation and clothing area factor</v>
      </c>
    </row>
    <row r="42" spans="2:5">
      <c r="B42" s="20" t="s">
        <v>14</v>
      </c>
      <c r="C42" s="22">
        <v>0.31</v>
      </c>
      <c r="D42" s="21">
        <f t="shared" si="0"/>
        <v>1.0620000000000001</v>
      </c>
      <c r="E42" s="20" t="str">
        <f t="shared" si="1"/>
        <v>Left Thigh clothing insulation and clothing area factor</v>
      </c>
    </row>
    <row r="43" spans="2:5">
      <c r="B43" s="20" t="s">
        <v>15</v>
      </c>
      <c r="C43" s="22">
        <v>0.32</v>
      </c>
      <c r="D43" s="21">
        <f t="shared" si="0"/>
        <v>1.0640000000000001</v>
      </c>
      <c r="E43" s="20" t="str">
        <f t="shared" si="1"/>
        <v>Right Thigh clothing insulation and clothing area factor</v>
      </c>
    </row>
    <row r="44" spans="2:5">
      <c r="B44" s="20" t="s">
        <v>16</v>
      </c>
      <c r="C44" s="22">
        <v>0.33</v>
      </c>
      <c r="D44" s="21">
        <f t="shared" si="0"/>
        <v>1.0660000000000001</v>
      </c>
      <c r="E44" s="20" t="str">
        <f t="shared" si="1"/>
        <v>Left Lower Leg clothing insulation and clothing area factor</v>
      </c>
    </row>
    <row r="45" spans="2:5">
      <c r="B45" s="20" t="s">
        <v>17</v>
      </c>
      <c r="C45" s="22">
        <v>0.34</v>
      </c>
      <c r="D45" s="21">
        <f t="shared" si="0"/>
        <v>1.0680000000000001</v>
      </c>
      <c r="E45" s="20" t="str">
        <f t="shared" si="1"/>
        <v>Right Lower Leg clothing insulation and clothing area factor</v>
      </c>
    </row>
    <row r="46" spans="2:5">
      <c r="B46" s="20" t="s">
        <v>18</v>
      </c>
      <c r="C46" s="22">
        <v>0.35</v>
      </c>
      <c r="D46" s="21">
        <f t="shared" si="0"/>
        <v>1.07</v>
      </c>
      <c r="E46" s="20" t="str">
        <f t="shared" si="1"/>
        <v>Left Foot clothing insulation and clothing area factor</v>
      </c>
    </row>
    <row r="47" spans="2:5" ht="14.65" thickBot="1">
      <c r="B47" s="32" t="s">
        <v>19</v>
      </c>
      <c r="C47" s="28">
        <v>0.36</v>
      </c>
      <c r="D47" s="29">
        <f t="shared" si="0"/>
        <v>1.0720000000000001</v>
      </c>
      <c r="E47" s="32" t="str">
        <f t="shared" si="1"/>
        <v>Right Foot clothing insulation and clothing area factor</v>
      </c>
    </row>
    <row r="48" spans="2:5" ht="14.65" thickBot="1">
      <c r="B48" s="27"/>
      <c r="C48" s="27"/>
      <c r="D48" s="27"/>
      <c r="E48" s="27"/>
    </row>
    <row r="49" spans="2:5">
      <c r="B49" s="30" t="s">
        <v>66</v>
      </c>
      <c r="C49" s="31"/>
      <c r="D49" s="31"/>
      <c r="E49" s="31" t="s">
        <v>272</v>
      </c>
    </row>
    <row r="50" spans="2:5">
      <c r="B50" s="11" t="s">
        <v>67</v>
      </c>
      <c r="D50" s="11" t="b">
        <v>0</v>
      </c>
      <c r="E50" s="11" t="s">
        <v>273</v>
      </c>
    </row>
    <row r="51" spans="2:5">
      <c r="B51" s="11" t="s">
        <v>68</v>
      </c>
      <c r="D51" s="11" t="b">
        <v>0</v>
      </c>
      <c r="E51" s="11" t="s">
        <v>274</v>
      </c>
    </row>
    <row r="52" spans="2:5">
      <c r="B52" s="11" t="s">
        <v>69</v>
      </c>
      <c r="D52" s="11" t="b">
        <v>0</v>
      </c>
      <c r="E52" s="11" t="s">
        <v>275</v>
      </c>
    </row>
    <row r="53" spans="2:5">
      <c r="B53" s="11" t="s">
        <v>70</v>
      </c>
      <c r="D53" s="11" t="b">
        <v>0</v>
      </c>
      <c r="E53" s="11" t="s">
        <v>276</v>
      </c>
    </row>
    <row r="54" spans="2:5">
      <c r="B54" s="11" t="s">
        <v>71</v>
      </c>
      <c r="D54" s="11" t="b">
        <v>0</v>
      </c>
      <c r="E54" s="11" t="s">
        <v>277</v>
      </c>
    </row>
    <row r="55" spans="2:5">
      <c r="B55" s="11" t="s">
        <v>72</v>
      </c>
      <c r="D55" s="11" t="b">
        <v>0</v>
      </c>
      <c r="E55" s="11" t="s">
        <v>278</v>
      </c>
    </row>
    <row r="56" spans="2:5" ht="14.65" thickBot="1">
      <c r="B56" s="27" t="s">
        <v>73</v>
      </c>
      <c r="C56" s="27"/>
      <c r="D56" s="27" t="b">
        <v>0</v>
      </c>
      <c r="E56" s="27" t="s">
        <v>279</v>
      </c>
    </row>
    <row r="61" spans="2:5" ht="14.25" customHeight="1"/>
  </sheetData>
  <dataValidations count="3">
    <dataValidation type="list" allowBlank="1" showInputMessage="1" showErrorMessage="1" promptTitle="Gender input" prompt="Please select either &quot;male&quot; or &quot;female&quot;." sqref="C17" xr:uid="{7EDC8B06-8DEB-4856-94CC-B42D0963DCCF}">
      <formula1>"male,female"</formula1>
    </dataValidation>
    <dataValidation type="list" allowBlank="1" showInputMessage="1" showErrorMessage="1" promptTitle="Skin color input" prompt="Please select either &quot;white&quot;, &quot;brown&quot; or &quot;black&quot;." sqref="C20" xr:uid="{9F319D99-E05C-4B1A-8597-99B3AF850AE8}">
      <formula1>"white, brown, black"</formula1>
    </dataValidation>
    <dataValidation type="list" allowBlank="1" showInputMessage="1" showErrorMessage="1" sqref="C50:C56" xr:uid="{50CF39F0-F116-475E-8B53-BF5B8576AA91}">
      <formula1>"TRUE,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Button 7">
              <controlPr defaultSize="0" print="0" autoFill="0" autoPict="0" macro="[0]!RunMainScript_Click">
                <anchor moveWithCells="1" sizeWithCells="1">
                  <from>
                    <xdr:col>4</xdr:col>
                    <xdr:colOff>609600</xdr:colOff>
                    <xdr:row>1</xdr:row>
                    <xdr:rowOff>142875</xdr:rowOff>
                  </from>
                  <to>
                    <xdr:col>4</xdr:col>
                    <xdr:colOff>2405063</xdr:colOff>
                    <xdr:row>4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RunMainScript_Click">
                <anchor moveWithCells="1" sizeWithCells="1">
                  <from>
                    <xdr:col>4</xdr:col>
                    <xdr:colOff>2595563</xdr:colOff>
                    <xdr:row>1</xdr:row>
                    <xdr:rowOff>138113</xdr:rowOff>
                  </from>
                  <to>
                    <xdr:col>4</xdr:col>
                    <xdr:colOff>4391025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41596-8E90-46EB-AB58-834DDE3D2B7D}">
  <sheetPr codeName="Sheet2">
    <tabColor theme="9" tint="0.79998168889431442"/>
  </sheetPr>
  <dimension ref="A1:CO33"/>
  <sheetViews>
    <sheetView zoomScale="115" zoomScaleNormal="115" workbookViewId="0">
      <pane xSplit="8" ySplit="3" topLeftCell="I13" activePane="bottomRight" state="frozen"/>
      <selection pane="topRight" activeCell="G1" sqref="G1"/>
      <selection pane="bottomLeft" activeCell="A4" sqref="A4"/>
      <selection pane="bottomRight" activeCell="S11" sqref="S11"/>
    </sheetView>
  </sheetViews>
  <sheetFormatPr defaultColWidth="6.86328125" defaultRowHeight="14.25"/>
  <cols>
    <col min="1" max="1" width="13.53125" bestFit="1" customWidth="1"/>
    <col min="2" max="2" width="8.59765625" bestFit="1" customWidth="1"/>
    <col min="3" max="3" width="7.9296875" bestFit="1" customWidth="1"/>
    <col min="4" max="4" width="9.3984375" bestFit="1" customWidth="1"/>
    <col min="5" max="5" width="5" bestFit="1" customWidth="1"/>
    <col min="6" max="6" width="15.73046875" hidden="1" customWidth="1"/>
    <col min="7" max="7" width="17.33203125" hidden="1" customWidth="1"/>
    <col min="8" max="8" width="5.6640625" bestFit="1" customWidth="1"/>
    <col min="9" max="93" width="4.86328125" customWidth="1"/>
  </cols>
  <sheetData>
    <row r="1" spans="1:93">
      <c r="A1" s="12" t="s">
        <v>96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97</v>
      </c>
      <c r="G1" s="12" t="s">
        <v>93</v>
      </c>
      <c r="H1" s="12" t="s">
        <v>28</v>
      </c>
      <c r="I1" s="13" t="s">
        <v>29</v>
      </c>
      <c r="J1" s="13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4" t="s">
        <v>31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15" t="s">
        <v>32</v>
      </c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16" t="s">
        <v>33</v>
      </c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17" t="s">
        <v>43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</row>
    <row r="2" spans="1:93">
      <c r="E2" t="s">
        <v>44</v>
      </c>
      <c r="I2" s="1" t="s">
        <v>37</v>
      </c>
      <c r="J2" s="1" t="s">
        <v>30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2" t="s">
        <v>38</v>
      </c>
      <c r="AA2" s="2" t="s">
        <v>30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9" t="s">
        <v>39</v>
      </c>
      <c r="AR2" s="9" t="s">
        <v>40</v>
      </c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6" t="s">
        <v>41</v>
      </c>
      <c r="BI2" s="6" t="s">
        <v>34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3" t="s">
        <v>42</v>
      </c>
      <c r="BZ2" s="3" t="s">
        <v>35</v>
      </c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</row>
    <row r="3" spans="1:93" ht="75">
      <c r="I3" s="4" t="s">
        <v>2</v>
      </c>
      <c r="J3" s="4" t="s">
        <v>22</v>
      </c>
      <c r="K3" s="4" t="s">
        <v>4</v>
      </c>
      <c r="L3" s="4" t="s">
        <v>5</v>
      </c>
      <c r="M3" s="4" t="s">
        <v>6</v>
      </c>
      <c r="N3" s="4" t="s">
        <v>8</v>
      </c>
      <c r="O3" s="4" t="s">
        <v>9</v>
      </c>
      <c r="P3" s="4" t="s">
        <v>10</v>
      </c>
      <c r="Q3" s="4" t="s">
        <v>11</v>
      </c>
      <c r="R3" s="4" t="s">
        <v>12</v>
      </c>
      <c r="S3" s="4" t="s">
        <v>13</v>
      </c>
      <c r="T3" s="4" t="s">
        <v>14</v>
      </c>
      <c r="U3" s="4" t="s">
        <v>15</v>
      </c>
      <c r="V3" s="4" t="s">
        <v>16</v>
      </c>
      <c r="W3" s="4" t="s">
        <v>17</v>
      </c>
      <c r="X3" s="4" t="s">
        <v>18</v>
      </c>
      <c r="Y3" s="4" t="s">
        <v>19</v>
      </c>
      <c r="Z3" s="5" t="s">
        <v>2</v>
      </c>
      <c r="AA3" s="5" t="s">
        <v>22</v>
      </c>
      <c r="AB3" s="5" t="s">
        <v>4</v>
      </c>
      <c r="AC3" s="5" t="s">
        <v>5</v>
      </c>
      <c r="AD3" s="5" t="s">
        <v>6</v>
      </c>
      <c r="AE3" s="5" t="s">
        <v>8</v>
      </c>
      <c r="AF3" s="5" t="s">
        <v>9</v>
      </c>
      <c r="AG3" s="5" t="s">
        <v>10</v>
      </c>
      <c r="AH3" s="5" t="s">
        <v>11</v>
      </c>
      <c r="AI3" s="5" t="s">
        <v>12</v>
      </c>
      <c r="AJ3" s="5" t="s">
        <v>13</v>
      </c>
      <c r="AK3" s="5" t="s">
        <v>14</v>
      </c>
      <c r="AL3" s="5" t="s">
        <v>15</v>
      </c>
      <c r="AM3" s="5" t="s">
        <v>16</v>
      </c>
      <c r="AN3" s="5" t="s">
        <v>17</v>
      </c>
      <c r="AO3" s="5" t="s">
        <v>18</v>
      </c>
      <c r="AP3" s="5" t="s">
        <v>19</v>
      </c>
      <c r="AQ3" s="10" t="s">
        <v>2</v>
      </c>
      <c r="AR3" s="10" t="s">
        <v>22</v>
      </c>
      <c r="AS3" s="10" t="s">
        <v>4</v>
      </c>
      <c r="AT3" s="10" t="s">
        <v>5</v>
      </c>
      <c r="AU3" s="10" t="s">
        <v>6</v>
      </c>
      <c r="AV3" s="10" t="s">
        <v>8</v>
      </c>
      <c r="AW3" s="10" t="s">
        <v>9</v>
      </c>
      <c r="AX3" s="10" t="s">
        <v>10</v>
      </c>
      <c r="AY3" s="10" t="s">
        <v>11</v>
      </c>
      <c r="AZ3" s="10" t="s">
        <v>12</v>
      </c>
      <c r="BA3" s="10" t="s">
        <v>13</v>
      </c>
      <c r="BB3" s="10" t="s">
        <v>14</v>
      </c>
      <c r="BC3" s="10" t="s">
        <v>15</v>
      </c>
      <c r="BD3" s="10" t="s">
        <v>16</v>
      </c>
      <c r="BE3" s="10" t="s">
        <v>17</v>
      </c>
      <c r="BF3" s="10" t="s">
        <v>18</v>
      </c>
      <c r="BG3" s="10" t="s">
        <v>19</v>
      </c>
      <c r="BH3" s="7" t="s">
        <v>2</v>
      </c>
      <c r="BI3" s="7" t="s">
        <v>22</v>
      </c>
      <c r="BJ3" s="7" t="s">
        <v>4</v>
      </c>
      <c r="BK3" s="7" t="s">
        <v>5</v>
      </c>
      <c r="BL3" s="7" t="s">
        <v>6</v>
      </c>
      <c r="BM3" s="7" t="s">
        <v>8</v>
      </c>
      <c r="BN3" s="7" t="s">
        <v>9</v>
      </c>
      <c r="BO3" s="7" t="s">
        <v>10</v>
      </c>
      <c r="BP3" s="7" t="s">
        <v>11</v>
      </c>
      <c r="BQ3" s="7" t="s">
        <v>12</v>
      </c>
      <c r="BR3" s="7" t="s">
        <v>13</v>
      </c>
      <c r="BS3" s="7" t="s">
        <v>14</v>
      </c>
      <c r="BT3" s="7" t="s">
        <v>15</v>
      </c>
      <c r="BU3" s="7" t="s">
        <v>16</v>
      </c>
      <c r="BV3" s="7" t="s">
        <v>17</v>
      </c>
      <c r="BW3" s="7" t="s">
        <v>18</v>
      </c>
      <c r="BX3" s="7" t="s">
        <v>19</v>
      </c>
      <c r="BY3" s="8" t="s">
        <v>2</v>
      </c>
      <c r="BZ3" s="8" t="s">
        <v>22</v>
      </c>
      <c r="CA3" s="8" t="s">
        <v>4</v>
      </c>
      <c r="CB3" s="8" t="s">
        <v>5</v>
      </c>
      <c r="CC3" s="8" t="s">
        <v>6</v>
      </c>
      <c r="CD3" s="8" t="s">
        <v>8</v>
      </c>
      <c r="CE3" s="8" t="s">
        <v>9</v>
      </c>
      <c r="CF3" s="8" t="s">
        <v>10</v>
      </c>
      <c r="CG3" s="8" t="s">
        <v>11</v>
      </c>
      <c r="CH3" s="8" t="s">
        <v>12</v>
      </c>
      <c r="CI3" s="8" t="s">
        <v>13</v>
      </c>
      <c r="CJ3" s="8" t="s">
        <v>14</v>
      </c>
      <c r="CK3" s="8" t="s">
        <v>15</v>
      </c>
      <c r="CL3" s="8" t="s">
        <v>16</v>
      </c>
      <c r="CM3" s="8" t="s">
        <v>17</v>
      </c>
      <c r="CN3" s="8" t="s">
        <v>18</v>
      </c>
      <c r="CO3" s="8" t="s">
        <v>19</v>
      </c>
    </row>
    <row r="4" spans="1:93">
      <c r="A4" t="s">
        <v>36</v>
      </c>
      <c r="B4" s="3">
        <v>0</v>
      </c>
      <c r="C4" s="3">
        <v>1</v>
      </c>
      <c r="D4" t="s">
        <v>94</v>
      </c>
      <c r="E4" s="3">
        <v>1.3</v>
      </c>
      <c r="F4" t="s">
        <v>98</v>
      </c>
      <c r="G4" t="str">
        <f>'Simulation Information'!$C$27</f>
        <v>Summer casual</v>
      </c>
      <c r="H4" t="b">
        <v>0</v>
      </c>
      <c r="I4" s="3">
        <v>25</v>
      </c>
      <c r="J4" s="3">
        <v>25.1</v>
      </c>
      <c r="K4" s="3">
        <v>25.2</v>
      </c>
      <c r="L4" s="3">
        <v>25.3</v>
      </c>
      <c r="M4" s="3">
        <v>25.4</v>
      </c>
      <c r="N4" s="3">
        <v>25.5</v>
      </c>
      <c r="O4" s="3">
        <v>25.6</v>
      </c>
      <c r="P4" s="3">
        <v>25.7</v>
      </c>
      <c r="Q4" s="3">
        <v>25.8</v>
      </c>
      <c r="R4" s="3">
        <v>25.9</v>
      </c>
      <c r="S4" s="3">
        <v>26</v>
      </c>
      <c r="T4" s="3">
        <v>26.1</v>
      </c>
      <c r="U4" s="3">
        <v>26.2</v>
      </c>
      <c r="V4" s="3">
        <v>26.3</v>
      </c>
      <c r="W4" s="3">
        <v>26.4</v>
      </c>
      <c r="X4" s="3">
        <v>26.5</v>
      </c>
      <c r="Y4" s="3">
        <v>26.6</v>
      </c>
      <c r="Z4" s="3">
        <v>26.6</v>
      </c>
      <c r="AA4" s="3">
        <v>26.5</v>
      </c>
      <c r="AB4" s="3">
        <v>26.4</v>
      </c>
      <c r="AC4" s="3">
        <v>26.3</v>
      </c>
      <c r="AD4" s="3">
        <v>26.2</v>
      </c>
      <c r="AE4" s="3">
        <v>26.1</v>
      </c>
      <c r="AF4" s="3">
        <v>26</v>
      </c>
      <c r="AG4" s="3">
        <v>25.9</v>
      </c>
      <c r="AH4" s="3">
        <v>25.8</v>
      </c>
      <c r="AI4" s="3">
        <v>25.7</v>
      </c>
      <c r="AJ4" s="3">
        <v>25.6</v>
      </c>
      <c r="AK4" s="3">
        <v>25.5</v>
      </c>
      <c r="AL4" s="3">
        <v>25.4</v>
      </c>
      <c r="AM4" s="3">
        <v>25.3</v>
      </c>
      <c r="AN4" s="3">
        <v>25.2</v>
      </c>
      <c r="AO4" s="3">
        <v>25.1</v>
      </c>
      <c r="AP4" s="3">
        <v>25</v>
      </c>
      <c r="AQ4" s="3">
        <v>0.5</v>
      </c>
      <c r="AR4" s="3">
        <v>0.51</v>
      </c>
      <c r="AS4" s="3">
        <v>0.52</v>
      </c>
      <c r="AT4" s="3">
        <v>0.53</v>
      </c>
      <c r="AU4" s="3">
        <v>0.54</v>
      </c>
      <c r="AV4" s="3">
        <v>0.55000000000000004</v>
      </c>
      <c r="AW4" s="3">
        <v>0.56000000000000005</v>
      </c>
      <c r="AX4" s="3">
        <v>0.56999999999999995</v>
      </c>
      <c r="AY4" s="3">
        <v>0.57999999999999996</v>
      </c>
      <c r="AZ4" s="3">
        <v>0.59</v>
      </c>
      <c r="BA4" s="3">
        <v>0.6</v>
      </c>
      <c r="BB4" s="3">
        <v>0.61</v>
      </c>
      <c r="BC4" s="3">
        <v>0.62</v>
      </c>
      <c r="BD4" s="3">
        <v>0.63</v>
      </c>
      <c r="BE4" s="3">
        <v>0.64</v>
      </c>
      <c r="BF4" s="3">
        <v>0.65</v>
      </c>
      <c r="BG4" s="3">
        <v>0.66</v>
      </c>
      <c r="BH4" s="3">
        <v>0.01</v>
      </c>
      <c r="BI4" s="3">
        <v>0.02</v>
      </c>
      <c r="BJ4" s="3">
        <v>0.03</v>
      </c>
      <c r="BK4" s="3">
        <v>0.04</v>
      </c>
      <c r="BL4" s="3">
        <v>0.05</v>
      </c>
      <c r="BM4" s="3">
        <v>0.06</v>
      </c>
      <c r="BN4" s="3">
        <v>7.0000000000000007E-2</v>
      </c>
      <c r="BO4" s="3">
        <v>0.08</v>
      </c>
      <c r="BP4" s="3">
        <v>0.09</v>
      </c>
      <c r="BQ4" s="3">
        <v>0.1</v>
      </c>
      <c r="BR4" s="3">
        <v>0.11</v>
      </c>
      <c r="BS4" s="3">
        <v>0.12</v>
      </c>
      <c r="BT4" s="3">
        <v>0.13</v>
      </c>
      <c r="BU4" s="3">
        <v>0.14000000000000001</v>
      </c>
      <c r="BV4" s="3">
        <v>0.15</v>
      </c>
      <c r="BW4" s="3">
        <v>0.16</v>
      </c>
      <c r="BX4" s="3">
        <v>0.17</v>
      </c>
      <c r="BY4">
        <v>1</v>
      </c>
      <c r="BZ4">
        <v>2</v>
      </c>
      <c r="CA4">
        <v>3</v>
      </c>
      <c r="CB4">
        <v>4</v>
      </c>
      <c r="CC4">
        <v>5</v>
      </c>
      <c r="CD4">
        <v>6</v>
      </c>
      <c r="CE4">
        <v>7</v>
      </c>
      <c r="CF4">
        <v>8</v>
      </c>
      <c r="CG4">
        <v>9</v>
      </c>
      <c r="CH4">
        <v>10</v>
      </c>
      <c r="CI4">
        <v>11</v>
      </c>
      <c r="CJ4">
        <v>12</v>
      </c>
      <c r="CK4">
        <v>13</v>
      </c>
      <c r="CL4">
        <v>14</v>
      </c>
      <c r="CM4">
        <v>15</v>
      </c>
      <c r="CN4">
        <v>16</v>
      </c>
      <c r="CO4">
        <v>17</v>
      </c>
    </row>
    <row r="5" spans="1:93">
      <c r="A5" t="s">
        <v>36</v>
      </c>
      <c r="B5" s="3">
        <v>1</v>
      </c>
      <c r="C5" s="3">
        <v>2</v>
      </c>
      <c r="D5" t="s">
        <v>94</v>
      </c>
      <c r="E5" s="3">
        <v>1.3</v>
      </c>
      <c r="F5" t="s">
        <v>98</v>
      </c>
      <c r="G5" t="str">
        <f>'Simulation Information'!$C$27</f>
        <v>Summer casual</v>
      </c>
      <c r="H5" t="b">
        <v>0</v>
      </c>
      <c r="I5" s="3">
        <v>25</v>
      </c>
      <c r="J5" s="3">
        <v>25.1</v>
      </c>
      <c r="K5" s="3">
        <v>25.2</v>
      </c>
      <c r="L5" s="3">
        <v>25.3</v>
      </c>
      <c r="M5" s="3">
        <v>25.4</v>
      </c>
      <c r="N5" s="3">
        <v>25.5</v>
      </c>
      <c r="O5" s="3">
        <v>25.6</v>
      </c>
      <c r="P5" s="3">
        <v>25.7</v>
      </c>
      <c r="Q5" s="3">
        <v>25.8</v>
      </c>
      <c r="R5" s="3">
        <v>25.9</v>
      </c>
      <c r="S5" s="3">
        <v>26</v>
      </c>
      <c r="T5" s="3">
        <v>26.1</v>
      </c>
      <c r="U5" s="3">
        <v>26.2</v>
      </c>
      <c r="V5" s="3">
        <v>26.3</v>
      </c>
      <c r="W5" s="3">
        <v>26.4</v>
      </c>
      <c r="X5" s="3">
        <v>26.5</v>
      </c>
      <c r="Y5" s="3">
        <v>26.6</v>
      </c>
      <c r="Z5" s="3">
        <v>26.6</v>
      </c>
      <c r="AA5" s="3">
        <v>26.5</v>
      </c>
      <c r="AB5" s="3">
        <v>26.4</v>
      </c>
      <c r="AC5" s="3">
        <v>26.3</v>
      </c>
      <c r="AD5" s="3">
        <v>26.2</v>
      </c>
      <c r="AE5" s="3">
        <v>26.1</v>
      </c>
      <c r="AF5" s="3">
        <v>26</v>
      </c>
      <c r="AG5" s="3">
        <v>25.9</v>
      </c>
      <c r="AH5" s="3">
        <v>25.8</v>
      </c>
      <c r="AI5" s="3">
        <v>25.7</v>
      </c>
      <c r="AJ5" s="3">
        <v>25.6</v>
      </c>
      <c r="AK5" s="3">
        <v>25.5</v>
      </c>
      <c r="AL5" s="3">
        <v>25.4</v>
      </c>
      <c r="AM5" s="3">
        <v>25.3</v>
      </c>
      <c r="AN5" s="3">
        <v>25.2</v>
      </c>
      <c r="AO5" s="3">
        <v>25.1</v>
      </c>
      <c r="AP5" s="3">
        <v>25</v>
      </c>
      <c r="AQ5" s="3">
        <v>0.5</v>
      </c>
      <c r="AR5" s="3">
        <v>0.51</v>
      </c>
      <c r="AS5" s="3">
        <v>0.52</v>
      </c>
      <c r="AT5" s="3">
        <v>0.53</v>
      </c>
      <c r="AU5" s="3">
        <v>0.54</v>
      </c>
      <c r="AV5" s="3">
        <v>0.55000000000000004</v>
      </c>
      <c r="AW5" s="3">
        <v>0.56000000000000005</v>
      </c>
      <c r="AX5" s="3">
        <v>0.56999999999999995</v>
      </c>
      <c r="AY5" s="3">
        <v>0.57999999999999996</v>
      </c>
      <c r="AZ5" s="3">
        <v>0.59</v>
      </c>
      <c r="BA5" s="3">
        <v>0.6</v>
      </c>
      <c r="BB5" s="3">
        <v>0.61</v>
      </c>
      <c r="BC5" s="3">
        <v>0.62</v>
      </c>
      <c r="BD5" s="3">
        <v>0.63</v>
      </c>
      <c r="BE5" s="3">
        <v>0.64</v>
      </c>
      <c r="BF5" s="3">
        <v>0.65</v>
      </c>
      <c r="BG5" s="3">
        <v>0.66</v>
      </c>
      <c r="BH5" s="3">
        <v>0.01</v>
      </c>
      <c r="BI5" s="3">
        <v>0.02</v>
      </c>
      <c r="BJ5" s="3">
        <v>0.03</v>
      </c>
      <c r="BK5" s="3">
        <v>0.04</v>
      </c>
      <c r="BL5" s="3">
        <v>0.05</v>
      </c>
      <c r="BM5" s="3">
        <v>0.06</v>
      </c>
      <c r="BN5" s="3">
        <v>7.0000000000000007E-2</v>
      </c>
      <c r="BO5" s="3">
        <v>0.08</v>
      </c>
      <c r="BP5" s="3">
        <v>0.09</v>
      </c>
      <c r="BQ5" s="3">
        <v>0.1</v>
      </c>
      <c r="BR5" s="3">
        <v>0.11</v>
      </c>
      <c r="BS5" s="3">
        <v>0.12</v>
      </c>
      <c r="BT5" s="3">
        <v>0.13</v>
      </c>
      <c r="BU5" s="3">
        <v>0.14000000000000001</v>
      </c>
      <c r="BV5" s="3">
        <v>0.15</v>
      </c>
      <c r="BW5" s="3">
        <v>0.16</v>
      </c>
      <c r="BX5" s="3">
        <v>0.17</v>
      </c>
      <c r="BY5">
        <v>1</v>
      </c>
      <c r="BZ5">
        <v>2</v>
      </c>
      <c r="CA5">
        <v>3</v>
      </c>
      <c r="CB5">
        <v>4</v>
      </c>
      <c r="CC5">
        <v>5</v>
      </c>
      <c r="CD5">
        <v>6</v>
      </c>
      <c r="CE5">
        <v>7</v>
      </c>
      <c r="CF5">
        <v>8</v>
      </c>
      <c r="CG5">
        <v>9</v>
      </c>
      <c r="CH5">
        <v>10</v>
      </c>
      <c r="CI5">
        <v>11</v>
      </c>
      <c r="CJ5">
        <v>12</v>
      </c>
      <c r="CK5">
        <v>13</v>
      </c>
      <c r="CL5">
        <v>14</v>
      </c>
      <c r="CM5">
        <v>15</v>
      </c>
      <c r="CN5">
        <v>16</v>
      </c>
      <c r="CO5">
        <v>17</v>
      </c>
    </row>
    <row r="6" spans="1:93">
      <c r="A6" t="s">
        <v>36</v>
      </c>
      <c r="B6" s="3">
        <v>2</v>
      </c>
      <c r="C6" s="3">
        <v>3</v>
      </c>
      <c r="D6" t="s">
        <v>94</v>
      </c>
      <c r="E6" s="3">
        <v>1.3</v>
      </c>
      <c r="F6" t="s">
        <v>98</v>
      </c>
      <c r="G6" t="str">
        <f>'Simulation Information'!$C$27</f>
        <v>Summer casual</v>
      </c>
      <c r="H6" t="b">
        <v>0</v>
      </c>
      <c r="I6" s="3">
        <v>25</v>
      </c>
      <c r="J6" s="3">
        <v>25.1</v>
      </c>
      <c r="K6" s="3">
        <v>25.2</v>
      </c>
      <c r="L6" s="3">
        <v>25.3</v>
      </c>
      <c r="M6" s="3">
        <v>25.4</v>
      </c>
      <c r="N6" s="3">
        <v>25.5</v>
      </c>
      <c r="O6" s="3">
        <v>25.6</v>
      </c>
      <c r="P6" s="3">
        <v>25.7</v>
      </c>
      <c r="Q6" s="3">
        <v>25.8</v>
      </c>
      <c r="R6" s="3">
        <v>25.9</v>
      </c>
      <c r="S6" s="3">
        <v>26</v>
      </c>
      <c r="T6" s="3">
        <v>26.1</v>
      </c>
      <c r="U6" s="3">
        <v>26.2</v>
      </c>
      <c r="V6" s="3">
        <v>26.3</v>
      </c>
      <c r="W6" s="3">
        <v>26.4</v>
      </c>
      <c r="X6" s="3">
        <v>26.5</v>
      </c>
      <c r="Y6" s="3">
        <v>26.6</v>
      </c>
      <c r="Z6" s="3">
        <v>26.6</v>
      </c>
      <c r="AA6" s="3">
        <v>26.5</v>
      </c>
      <c r="AB6" s="3">
        <v>26.4</v>
      </c>
      <c r="AC6" s="3">
        <v>26.3</v>
      </c>
      <c r="AD6" s="3">
        <v>26.2</v>
      </c>
      <c r="AE6" s="3">
        <v>26.1</v>
      </c>
      <c r="AF6" s="3">
        <v>26</v>
      </c>
      <c r="AG6" s="3">
        <v>25.9</v>
      </c>
      <c r="AH6" s="3">
        <v>25.8</v>
      </c>
      <c r="AI6" s="3">
        <v>25.7</v>
      </c>
      <c r="AJ6" s="3">
        <v>25.6</v>
      </c>
      <c r="AK6" s="3">
        <v>25.5</v>
      </c>
      <c r="AL6" s="3">
        <v>25.4</v>
      </c>
      <c r="AM6" s="3">
        <v>25.3</v>
      </c>
      <c r="AN6" s="3">
        <v>25.2</v>
      </c>
      <c r="AO6" s="3">
        <v>25.1</v>
      </c>
      <c r="AP6" s="3">
        <v>25</v>
      </c>
      <c r="AQ6" s="3">
        <v>0.5</v>
      </c>
      <c r="AR6" s="3">
        <v>0.51</v>
      </c>
      <c r="AS6" s="3">
        <v>0.52</v>
      </c>
      <c r="AT6" s="3">
        <v>0.53</v>
      </c>
      <c r="AU6" s="3">
        <v>0.54</v>
      </c>
      <c r="AV6" s="3">
        <v>0.55000000000000004</v>
      </c>
      <c r="AW6" s="3">
        <v>0.56000000000000005</v>
      </c>
      <c r="AX6" s="3">
        <v>0.56999999999999995</v>
      </c>
      <c r="AY6" s="3">
        <v>0.57999999999999996</v>
      </c>
      <c r="AZ6" s="3">
        <v>0.59</v>
      </c>
      <c r="BA6" s="3">
        <v>0.6</v>
      </c>
      <c r="BB6" s="3">
        <v>0.61</v>
      </c>
      <c r="BC6" s="3">
        <v>0.62</v>
      </c>
      <c r="BD6" s="3">
        <v>0.63</v>
      </c>
      <c r="BE6" s="3">
        <v>0.64</v>
      </c>
      <c r="BF6" s="3">
        <v>0.65</v>
      </c>
      <c r="BG6" s="3">
        <v>0.66</v>
      </c>
      <c r="BH6" s="3">
        <v>0.01</v>
      </c>
      <c r="BI6" s="3">
        <v>0.02</v>
      </c>
      <c r="BJ6" s="3">
        <v>0.03</v>
      </c>
      <c r="BK6" s="3">
        <v>0.04</v>
      </c>
      <c r="BL6" s="3">
        <v>0.05</v>
      </c>
      <c r="BM6" s="3">
        <v>0.06</v>
      </c>
      <c r="BN6" s="3">
        <v>7.0000000000000007E-2</v>
      </c>
      <c r="BO6" s="3">
        <v>0.08</v>
      </c>
      <c r="BP6" s="3">
        <v>0.09</v>
      </c>
      <c r="BQ6" s="3">
        <v>0.1</v>
      </c>
      <c r="BR6" s="3">
        <v>0.11</v>
      </c>
      <c r="BS6" s="3">
        <v>0.12</v>
      </c>
      <c r="BT6" s="3">
        <v>0.13</v>
      </c>
      <c r="BU6" s="3">
        <v>0.14000000000000001</v>
      </c>
      <c r="BV6" s="3">
        <v>0.15</v>
      </c>
      <c r="BW6" s="3">
        <v>0.16</v>
      </c>
      <c r="BX6" s="3">
        <v>0.17</v>
      </c>
      <c r="BY6">
        <v>1</v>
      </c>
      <c r="BZ6">
        <v>2</v>
      </c>
      <c r="CA6">
        <v>3</v>
      </c>
      <c r="CB6">
        <v>4</v>
      </c>
      <c r="CC6">
        <v>5</v>
      </c>
      <c r="CD6">
        <v>6</v>
      </c>
      <c r="CE6">
        <v>7</v>
      </c>
      <c r="CF6">
        <v>8</v>
      </c>
      <c r="CG6">
        <v>9</v>
      </c>
      <c r="CH6">
        <v>10</v>
      </c>
      <c r="CI6">
        <v>11</v>
      </c>
      <c r="CJ6">
        <v>12</v>
      </c>
      <c r="CK6">
        <v>13</v>
      </c>
      <c r="CL6">
        <v>14</v>
      </c>
      <c r="CM6">
        <v>15</v>
      </c>
      <c r="CN6">
        <v>16</v>
      </c>
      <c r="CO6">
        <v>17</v>
      </c>
    </row>
    <row r="7" spans="1:93">
      <c r="A7" t="s">
        <v>36</v>
      </c>
      <c r="B7" s="3">
        <v>3</v>
      </c>
      <c r="C7" s="3">
        <v>4</v>
      </c>
      <c r="D7" t="s">
        <v>94</v>
      </c>
      <c r="E7" s="3">
        <v>1.3</v>
      </c>
      <c r="F7" t="s">
        <v>98</v>
      </c>
      <c r="G7" t="str">
        <f>'Simulation Information'!$C$27</f>
        <v>Summer casual</v>
      </c>
      <c r="H7" t="b">
        <v>0</v>
      </c>
      <c r="I7" s="3">
        <v>25</v>
      </c>
      <c r="J7" s="3">
        <v>25.1</v>
      </c>
      <c r="K7" s="3">
        <v>25.2</v>
      </c>
      <c r="L7" s="3">
        <v>25.3</v>
      </c>
      <c r="M7" s="3">
        <v>25.4</v>
      </c>
      <c r="N7" s="3">
        <v>25.5</v>
      </c>
      <c r="O7" s="3">
        <v>25.6</v>
      </c>
      <c r="P7" s="3">
        <v>25.7</v>
      </c>
      <c r="Q7" s="3">
        <v>25.8</v>
      </c>
      <c r="R7" s="3">
        <v>25.9</v>
      </c>
      <c r="S7" s="3">
        <v>26</v>
      </c>
      <c r="T7" s="3">
        <v>26.1</v>
      </c>
      <c r="U7" s="3">
        <v>26.2</v>
      </c>
      <c r="V7" s="3">
        <v>26.3</v>
      </c>
      <c r="W7" s="3">
        <v>26.4</v>
      </c>
      <c r="X7" s="3">
        <v>26.5</v>
      </c>
      <c r="Y7" s="3">
        <v>26.6</v>
      </c>
      <c r="Z7" s="3">
        <v>26.6</v>
      </c>
      <c r="AA7" s="3">
        <v>26.5</v>
      </c>
      <c r="AB7" s="3">
        <v>26.4</v>
      </c>
      <c r="AC7" s="3">
        <v>26.3</v>
      </c>
      <c r="AD7" s="3">
        <v>26.2</v>
      </c>
      <c r="AE7" s="3">
        <v>26.1</v>
      </c>
      <c r="AF7" s="3">
        <v>26</v>
      </c>
      <c r="AG7" s="3">
        <v>25.9</v>
      </c>
      <c r="AH7" s="3">
        <v>25.8</v>
      </c>
      <c r="AI7" s="3">
        <v>25.7</v>
      </c>
      <c r="AJ7" s="3">
        <v>25.6</v>
      </c>
      <c r="AK7" s="3">
        <v>25.5</v>
      </c>
      <c r="AL7" s="3">
        <v>25.4</v>
      </c>
      <c r="AM7" s="3">
        <v>25.3</v>
      </c>
      <c r="AN7" s="3">
        <v>25.2</v>
      </c>
      <c r="AO7" s="3">
        <v>25.1</v>
      </c>
      <c r="AP7" s="3">
        <v>25</v>
      </c>
      <c r="AQ7" s="3">
        <v>0.5</v>
      </c>
      <c r="AR7" s="3">
        <v>0.51</v>
      </c>
      <c r="AS7" s="3">
        <v>0.52</v>
      </c>
      <c r="AT7" s="3">
        <v>0.53</v>
      </c>
      <c r="AU7" s="3">
        <v>0.54</v>
      </c>
      <c r="AV7" s="3">
        <v>0.55000000000000004</v>
      </c>
      <c r="AW7" s="3">
        <v>0.56000000000000005</v>
      </c>
      <c r="AX7" s="3">
        <v>0.56999999999999995</v>
      </c>
      <c r="AY7" s="3">
        <v>0.57999999999999996</v>
      </c>
      <c r="AZ7" s="3">
        <v>0.59</v>
      </c>
      <c r="BA7" s="3">
        <v>0.6</v>
      </c>
      <c r="BB7" s="3">
        <v>0.61</v>
      </c>
      <c r="BC7" s="3">
        <v>0.62</v>
      </c>
      <c r="BD7" s="3">
        <v>0.63</v>
      </c>
      <c r="BE7" s="3">
        <v>0.64</v>
      </c>
      <c r="BF7" s="3">
        <v>0.65</v>
      </c>
      <c r="BG7" s="3">
        <v>0.66</v>
      </c>
      <c r="BH7" s="3">
        <v>0.01</v>
      </c>
      <c r="BI7" s="3">
        <v>0.02</v>
      </c>
      <c r="BJ7" s="3">
        <v>0.03</v>
      </c>
      <c r="BK7" s="3">
        <v>0.04</v>
      </c>
      <c r="BL7" s="3">
        <v>0.05</v>
      </c>
      <c r="BM7" s="3">
        <v>0.06</v>
      </c>
      <c r="BN7" s="3">
        <v>7.0000000000000007E-2</v>
      </c>
      <c r="BO7" s="3">
        <v>0.08</v>
      </c>
      <c r="BP7" s="3">
        <v>0.09</v>
      </c>
      <c r="BQ7" s="3">
        <v>0.1</v>
      </c>
      <c r="BR7" s="3">
        <v>0.11</v>
      </c>
      <c r="BS7" s="3">
        <v>0.12</v>
      </c>
      <c r="BT7" s="3">
        <v>0.13</v>
      </c>
      <c r="BU7" s="3">
        <v>0.14000000000000001</v>
      </c>
      <c r="BV7" s="3">
        <v>0.15</v>
      </c>
      <c r="BW7" s="3">
        <v>0.16</v>
      </c>
      <c r="BX7" s="3">
        <v>0.17</v>
      </c>
      <c r="BY7">
        <v>1</v>
      </c>
      <c r="BZ7">
        <v>2</v>
      </c>
      <c r="CA7">
        <v>3</v>
      </c>
      <c r="CB7">
        <v>4</v>
      </c>
      <c r="CC7">
        <v>5</v>
      </c>
      <c r="CD7">
        <v>6</v>
      </c>
      <c r="CE7">
        <v>7</v>
      </c>
      <c r="CF7">
        <v>8</v>
      </c>
      <c r="CG7">
        <v>9</v>
      </c>
      <c r="CH7">
        <v>10</v>
      </c>
      <c r="CI7">
        <v>11</v>
      </c>
      <c r="CJ7">
        <v>12</v>
      </c>
      <c r="CK7">
        <v>13</v>
      </c>
      <c r="CL7">
        <v>14</v>
      </c>
      <c r="CM7">
        <v>15</v>
      </c>
      <c r="CN7">
        <v>16</v>
      </c>
      <c r="CO7">
        <v>17</v>
      </c>
    </row>
    <row r="8" spans="1:93">
      <c r="A8" t="s">
        <v>36</v>
      </c>
      <c r="B8" s="3">
        <v>4</v>
      </c>
      <c r="C8" s="3">
        <v>5</v>
      </c>
      <c r="D8" t="s">
        <v>94</v>
      </c>
      <c r="E8" s="3">
        <v>1.3</v>
      </c>
      <c r="F8" t="s">
        <v>98</v>
      </c>
      <c r="G8" t="str">
        <f>'Simulation Information'!$C$27</f>
        <v>Summer casual</v>
      </c>
      <c r="H8" t="b">
        <v>0</v>
      </c>
      <c r="I8" s="3">
        <v>25</v>
      </c>
      <c r="J8" s="3">
        <v>25.1</v>
      </c>
      <c r="K8" s="3">
        <v>25.2</v>
      </c>
      <c r="L8" s="3">
        <v>25.3</v>
      </c>
      <c r="M8" s="3">
        <v>25.4</v>
      </c>
      <c r="N8" s="3">
        <v>25.5</v>
      </c>
      <c r="O8" s="3">
        <v>25.6</v>
      </c>
      <c r="P8" s="3">
        <v>25.7</v>
      </c>
      <c r="Q8" s="3">
        <v>25.8</v>
      </c>
      <c r="R8" s="3">
        <v>25.9</v>
      </c>
      <c r="S8" s="3">
        <v>26</v>
      </c>
      <c r="T8" s="3">
        <v>26.1</v>
      </c>
      <c r="U8" s="3">
        <v>26.2</v>
      </c>
      <c r="V8" s="3">
        <v>26.3</v>
      </c>
      <c r="W8" s="3">
        <v>26.4</v>
      </c>
      <c r="X8" s="3">
        <v>26.5</v>
      </c>
      <c r="Y8" s="3">
        <v>26.6</v>
      </c>
      <c r="Z8" s="3">
        <v>26.6</v>
      </c>
      <c r="AA8" s="3">
        <v>26.5</v>
      </c>
      <c r="AB8" s="3">
        <v>26.4</v>
      </c>
      <c r="AC8" s="3">
        <v>26.3</v>
      </c>
      <c r="AD8" s="3">
        <v>26.2</v>
      </c>
      <c r="AE8" s="3">
        <v>26.1</v>
      </c>
      <c r="AF8" s="3">
        <v>26</v>
      </c>
      <c r="AG8" s="3">
        <v>25.9</v>
      </c>
      <c r="AH8" s="3">
        <v>25.8</v>
      </c>
      <c r="AI8" s="3">
        <v>25.7</v>
      </c>
      <c r="AJ8" s="3">
        <v>25.6</v>
      </c>
      <c r="AK8" s="3">
        <v>25.5</v>
      </c>
      <c r="AL8" s="3">
        <v>25.4</v>
      </c>
      <c r="AM8" s="3">
        <v>25.3</v>
      </c>
      <c r="AN8" s="3">
        <v>25.2</v>
      </c>
      <c r="AO8" s="3">
        <v>25.1</v>
      </c>
      <c r="AP8" s="3">
        <v>25</v>
      </c>
      <c r="AQ8" s="3">
        <v>0.5</v>
      </c>
      <c r="AR8" s="3">
        <v>0.51</v>
      </c>
      <c r="AS8" s="3">
        <v>0.52</v>
      </c>
      <c r="AT8" s="3">
        <v>0.53</v>
      </c>
      <c r="AU8" s="3">
        <v>0.54</v>
      </c>
      <c r="AV8" s="3">
        <v>0.55000000000000004</v>
      </c>
      <c r="AW8" s="3">
        <v>0.56000000000000005</v>
      </c>
      <c r="AX8" s="3">
        <v>0.56999999999999995</v>
      </c>
      <c r="AY8" s="3">
        <v>0.57999999999999996</v>
      </c>
      <c r="AZ8" s="3">
        <v>0.59</v>
      </c>
      <c r="BA8" s="3">
        <v>0.6</v>
      </c>
      <c r="BB8" s="3">
        <v>0.61</v>
      </c>
      <c r="BC8" s="3">
        <v>0.62</v>
      </c>
      <c r="BD8" s="3">
        <v>0.63</v>
      </c>
      <c r="BE8" s="3">
        <v>0.64</v>
      </c>
      <c r="BF8" s="3">
        <v>0.65</v>
      </c>
      <c r="BG8" s="3">
        <v>0.66</v>
      </c>
      <c r="BH8" s="3">
        <v>0.01</v>
      </c>
      <c r="BI8" s="3">
        <v>0.02</v>
      </c>
      <c r="BJ8" s="3">
        <v>0.03</v>
      </c>
      <c r="BK8" s="3">
        <v>0.04</v>
      </c>
      <c r="BL8" s="3">
        <v>0.05</v>
      </c>
      <c r="BM8" s="3">
        <v>0.06</v>
      </c>
      <c r="BN8" s="3">
        <v>7.0000000000000007E-2</v>
      </c>
      <c r="BO8" s="3">
        <v>0.08</v>
      </c>
      <c r="BP8" s="3">
        <v>0.09</v>
      </c>
      <c r="BQ8" s="3">
        <v>0.1</v>
      </c>
      <c r="BR8" s="3">
        <v>0.11</v>
      </c>
      <c r="BS8" s="3">
        <v>0.12</v>
      </c>
      <c r="BT8" s="3">
        <v>0.13</v>
      </c>
      <c r="BU8" s="3">
        <v>0.14000000000000001</v>
      </c>
      <c r="BV8" s="3">
        <v>0.15</v>
      </c>
      <c r="BW8" s="3">
        <v>0.16</v>
      </c>
      <c r="BX8" s="3">
        <v>0.17</v>
      </c>
      <c r="BY8">
        <v>1</v>
      </c>
      <c r="BZ8">
        <v>2</v>
      </c>
      <c r="CA8">
        <v>3</v>
      </c>
      <c r="CB8">
        <v>4</v>
      </c>
      <c r="CC8">
        <v>5</v>
      </c>
      <c r="CD8">
        <v>6</v>
      </c>
      <c r="CE8">
        <v>7</v>
      </c>
      <c r="CF8">
        <v>8</v>
      </c>
      <c r="CG8">
        <v>9</v>
      </c>
      <c r="CH8">
        <v>10</v>
      </c>
      <c r="CI8">
        <v>11</v>
      </c>
      <c r="CJ8">
        <v>12</v>
      </c>
      <c r="CK8">
        <v>13</v>
      </c>
      <c r="CL8">
        <v>14</v>
      </c>
      <c r="CM8">
        <v>15</v>
      </c>
      <c r="CN8">
        <v>16</v>
      </c>
      <c r="CO8">
        <v>17</v>
      </c>
    </row>
    <row r="9" spans="1:93">
      <c r="A9" t="s">
        <v>36</v>
      </c>
      <c r="B9" s="3">
        <v>5</v>
      </c>
      <c r="C9" s="3">
        <v>6</v>
      </c>
      <c r="D9" t="s">
        <v>94</v>
      </c>
      <c r="E9" s="3">
        <v>1.3</v>
      </c>
      <c r="F9" t="s">
        <v>98</v>
      </c>
      <c r="G9" t="str">
        <f>'Simulation Information'!$C$27</f>
        <v>Summer casual</v>
      </c>
      <c r="H9" t="b">
        <v>0</v>
      </c>
      <c r="I9" s="3">
        <v>25</v>
      </c>
      <c r="J9" s="3">
        <v>25.1</v>
      </c>
      <c r="K9" s="3">
        <v>25.2</v>
      </c>
      <c r="L9" s="3">
        <v>25.3</v>
      </c>
      <c r="M9" s="3">
        <v>25.4</v>
      </c>
      <c r="N9" s="3">
        <v>25.5</v>
      </c>
      <c r="O9" s="3">
        <v>25.6</v>
      </c>
      <c r="P9" s="3">
        <v>25.7</v>
      </c>
      <c r="Q9" s="3">
        <v>25.8</v>
      </c>
      <c r="R9" s="3">
        <v>25.9</v>
      </c>
      <c r="S9" s="3">
        <v>26</v>
      </c>
      <c r="T9" s="3">
        <v>26.1</v>
      </c>
      <c r="U9" s="3">
        <v>26.2</v>
      </c>
      <c r="V9" s="3">
        <v>26.3</v>
      </c>
      <c r="W9" s="3">
        <v>26.4</v>
      </c>
      <c r="X9" s="3">
        <v>26.5</v>
      </c>
      <c r="Y9" s="3">
        <v>26.6</v>
      </c>
      <c r="Z9" s="3">
        <v>26.6</v>
      </c>
      <c r="AA9" s="3">
        <v>26.5</v>
      </c>
      <c r="AB9" s="3">
        <v>26.4</v>
      </c>
      <c r="AC9" s="3">
        <v>26.3</v>
      </c>
      <c r="AD9" s="3">
        <v>26.2</v>
      </c>
      <c r="AE9" s="3">
        <v>26.1</v>
      </c>
      <c r="AF9" s="3">
        <v>26</v>
      </c>
      <c r="AG9" s="3">
        <v>25.9</v>
      </c>
      <c r="AH9" s="3">
        <v>25.8</v>
      </c>
      <c r="AI9" s="3">
        <v>25.7</v>
      </c>
      <c r="AJ9" s="3">
        <v>25.6</v>
      </c>
      <c r="AK9" s="3">
        <v>25.5</v>
      </c>
      <c r="AL9" s="3">
        <v>25.4</v>
      </c>
      <c r="AM9" s="3">
        <v>25.3</v>
      </c>
      <c r="AN9" s="3">
        <v>25.2</v>
      </c>
      <c r="AO9" s="3">
        <v>25.1</v>
      </c>
      <c r="AP9" s="3">
        <v>25</v>
      </c>
      <c r="AQ9" s="3">
        <v>0.5</v>
      </c>
      <c r="AR9" s="3">
        <v>0.51</v>
      </c>
      <c r="AS9" s="3">
        <v>0.52</v>
      </c>
      <c r="AT9" s="3">
        <v>0.53</v>
      </c>
      <c r="AU9" s="3">
        <v>0.54</v>
      </c>
      <c r="AV9" s="3">
        <v>0.55000000000000004</v>
      </c>
      <c r="AW9" s="3">
        <v>0.56000000000000005</v>
      </c>
      <c r="AX9" s="3">
        <v>0.56999999999999995</v>
      </c>
      <c r="AY9" s="3">
        <v>0.57999999999999996</v>
      </c>
      <c r="AZ9" s="3">
        <v>0.59</v>
      </c>
      <c r="BA9" s="3">
        <v>0.6</v>
      </c>
      <c r="BB9" s="3">
        <v>0.61</v>
      </c>
      <c r="BC9" s="3">
        <v>0.62</v>
      </c>
      <c r="BD9" s="3">
        <v>0.63</v>
      </c>
      <c r="BE9" s="3">
        <v>0.64</v>
      </c>
      <c r="BF9" s="3">
        <v>0.65</v>
      </c>
      <c r="BG9" s="3">
        <v>0.66</v>
      </c>
      <c r="BH9" s="3">
        <v>0.01</v>
      </c>
      <c r="BI9" s="3">
        <v>0.02</v>
      </c>
      <c r="BJ9" s="3">
        <v>0.03</v>
      </c>
      <c r="BK9" s="3">
        <v>0.04</v>
      </c>
      <c r="BL9" s="3">
        <v>0.05</v>
      </c>
      <c r="BM9" s="3">
        <v>0.06</v>
      </c>
      <c r="BN9" s="3">
        <v>7.0000000000000007E-2</v>
      </c>
      <c r="BO9" s="3">
        <v>0.08</v>
      </c>
      <c r="BP9" s="3">
        <v>0.09</v>
      </c>
      <c r="BQ9" s="3">
        <v>0.1</v>
      </c>
      <c r="BR9" s="3">
        <v>0.11</v>
      </c>
      <c r="BS9" s="3">
        <v>0.12</v>
      </c>
      <c r="BT9" s="3">
        <v>0.13</v>
      </c>
      <c r="BU9" s="3">
        <v>0.14000000000000001</v>
      </c>
      <c r="BV9" s="3">
        <v>0.15</v>
      </c>
      <c r="BW9" s="3">
        <v>0.16</v>
      </c>
      <c r="BX9" s="3">
        <v>0.17</v>
      </c>
      <c r="BY9">
        <v>1</v>
      </c>
      <c r="BZ9">
        <v>2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11</v>
      </c>
      <c r="CJ9">
        <v>12</v>
      </c>
      <c r="CK9">
        <v>13</v>
      </c>
      <c r="CL9">
        <v>14</v>
      </c>
      <c r="CM9">
        <v>15</v>
      </c>
      <c r="CN9">
        <v>16</v>
      </c>
      <c r="CO9">
        <v>17</v>
      </c>
    </row>
    <row r="10" spans="1:93">
      <c r="A10" t="s">
        <v>36</v>
      </c>
      <c r="B10" s="3">
        <v>6</v>
      </c>
      <c r="C10" s="3">
        <v>7</v>
      </c>
      <c r="D10" t="s">
        <v>94</v>
      </c>
      <c r="E10" s="3">
        <v>1.3</v>
      </c>
      <c r="F10" t="s">
        <v>98</v>
      </c>
      <c r="G10" t="str">
        <f>'Simulation Information'!$C$27</f>
        <v>Summer casual</v>
      </c>
      <c r="H10" t="b">
        <v>0</v>
      </c>
      <c r="I10" s="3">
        <v>25</v>
      </c>
      <c r="J10" s="3">
        <v>25.1</v>
      </c>
      <c r="K10" s="3">
        <v>25.2</v>
      </c>
      <c r="L10" s="3">
        <v>25.3</v>
      </c>
      <c r="M10" s="3">
        <v>25.4</v>
      </c>
      <c r="N10" s="3">
        <v>25.5</v>
      </c>
      <c r="O10" s="3">
        <v>25.6</v>
      </c>
      <c r="P10" s="3">
        <v>25.7</v>
      </c>
      <c r="Q10" s="3">
        <v>25.8</v>
      </c>
      <c r="R10" s="3">
        <v>25.9</v>
      </c>
      <c r="S10" s="3">
        <v>26</v>
      </c>
      <c r="T10" s="3">
        <v>26.1</v>
      </c>
      <c r="U10" s="3">
        <v>26.2</v>
      </c>
      <c r="V10" s="3">
        <v>26.3</v>
      </c>
      <c r="W10" s="3">
        <v>26.4</v>
      </c>
      <c r="X10" s="3">
        <v>26.5</v>
      </c>
      <c r="Y10" s="3">
        <v>26.6</v>
      </c>
      <c r="Z10" s="3">
        <v>26.6</v>
      </c>
      <c r="AA10" s="3">
        <v>26.5</v>
      </c>
      <c r="AB10" s="3">
        <v>26.4</v>
      </c>
      <c r="AC10" s="3">
        <v>26.3</v>
      </c>
      <c r="AD10" s="3">
        <v>26.2</v>
      </c>
      <c r="AE10" s="3">
        <v>26.1</v>
      </c>
      <c r="AF10" s="3">
        <v>26</v>
      </c>
      <c r="AG10" s="3">
        <v>25.9</v>
      </c>
      <c r="AH10" s="3">
        <v>25.8</v>
      </c>
      <c r="AI10" s="3">
        <v>25.7</v>
      </c>
      <c r="AJ10" s="3">
        <v>25.6</v>
      </c>
      <c r="AK10" s="3">
        <v>25.5</v>
      </c>
      <c r="AL10" s="3">
        <v>25.4</v>
      </c>
      <c r="AM10" s="3">
        <v>25.3</v>
      </c>
      <c r="AN10" s="3">
        <v>25.2</v>
      </c>
      <c r="AO10" s="3">
        <v>25.1</v>
      </c>
      <c r="AP10" s="3">
        <v>25</v>
      </c>
      <c r="AQ10" s="3">
        <v>0.5</v>
      </c>
      <c r="AR10" s="3">
        <v>0.51</v>
      </c>
      <c r="AS10" s="3">
        <v>0.52</v>
      </c>
      <c r="AT10" s="3">
        <v>0.53</v>
      </c>
      <c r="AU10" s="3">
        <v>0.54</v>
      </c>
      <c r="AV10" s="3">
        <v>0.55000000000000004</v>
      </c>
      <c r="AW10" s="3">
        <v>0.56000000000000005</v>
      </c>
      <c r="AX10" s="3">
        <v>0.56999999999999995</v>
      </c>
      <c r="AY10" s="3">
        <v>0.57999999999999996</v>
      </c>
      <c r="AZ10" s="3">
        <v>0.59</v>
      </c>
      <c r="BA10" s="3">
        <v>0.6</v>
      </c>
      <c r="BB10" s="3">
        <v>0.61</v>
      </c>
      <c r="BC10" s="3">
        <v>0.62</v>
      </c>
      <c r="BD10" s="3">
        <v>0.63</v>
      </c>
      <c r="BE10" s="3">
        <v>0.64</v>
      </c>
      <c r="BF10" s="3">
        <v>0.65</v>
      </c>
      <c r="BG10" s="3">
        <v>0.66</v>
      </c>
      <c r="BH10" s="3">
        <v>0.01</v>
      </c>
      <c r="BI10" s="3">
        <v>0.02</v>
      </c>
      <c r="BJ10" s="3">
        <v>0.03</v>
      </c>
      <c r="BK10" s="3">
        <v>0.04</v>
      </c>
      <c r="BL10" s="3">
        <v>0.05</v>
      </c>
      <c r="BM10" s="3">
        <v>0.06</v>
      </c>
      <c r="BN10" s="3">
        <v>7.0000000000000007E-2</v>
      </c>
      <c r="BO10" s="3">
        <v>0.08</v>
      </c>
      <c r="BP10" s="3">
        <v>0.09</v>
      </c>
      <c r="BQ10" s="3">
        <v>0.1</v>
      </c>
      <c r="BR10" s="3">
        <v>0.11</v>
      </c>
      <c r="BS10" s="3">
        <v>0.12</v>
      </c>
      <c r="BT10" s="3">
        <v>0.13</v>
      </c>
      <c r="BU10" s="3">
        <v>0.14000000000000001</v>
      </c>
      <c r="BV10" s="3">
        <v>0.15</v>
      </c>
      <c r="BW10" s="3">
        <v>0.16</v>
      </c>
      <c r="BX10" s="3">
        <v>0.17</v>
      </c>
      <c r="BY10">
        <v>1</v>
      </c>
      <c r="BZ10">
        <v>2</v>
      </c>
      <c r="CA10">
        <v>3</v>
      </c>
      <c r="CB10">
        <v>4</v>
      </c>
      <c r="CC10">
        <v>5</v>
      </c>
      <c r="CD10">
        <v>6</v>
      </c>
      <c r="CE10">
        <v>7</v>
      </c>
      <c r="CF10">
        <v>8</v>
      </c>
      <c r="CG10">
        <v>9</v>
      </c>
      <c r="CH10">
        <v>10</v>
      </c>
      <c r="CI10">
        <v>11</v>
      </c>
      <c r="CJ10">
        <v>12</v>
      </c>
      <c r="CK10">
        <v>13</v>
      </c>
      <c r="CL10">
        <v>14</v>
      </c>
      <c r="CM10">
        <v>15</v>
      </c>
      <c r="CN10">
        <v>16</v>
      </c>
      <c r="CO10">
        <v>17</v>
      </c>
    </row>
    <row r="11" spans="1:93">
      <c r="A11" t="s">
        <v>36</v>
      </c>
      <c r="B11" s="3">
        <v>7</v>
      </c>
      <c r="C11" s="3">
        <v>8</v>
      </c>
      <c r="D11" t="s">
        <v>94</v>
      </c>
      <c r="E11" s="3">
        <v>1.3</v>
      </c>
      <c r="F11" t="s">
        <v>98</v>
      </c>
      <c r="G11" t="str">
        <f>'Simulation Information'!$C$27</f>
        <v>Summer casual</v>
      </c>
      <c r="H11" t="b">
        <v>0</v>
      </c>
      <c r="I11" s="3">
        <v>25</v>
      </c>
      <c r="J11" s="3">
        <v>25.1</v>
      </c>
      <c r="K11" s="3">
        <v>25.2</v>
      </c>
      <c r="L11" s="3">
        <v>25.3</v>
      </c>
      <c r="M11" s="3">
        <v>25.4</v>
      </c>
      <c r="N11" s="3">
        <v>25.5</v>
      </c>
      <c r="O11" s="3">
        <v>25.6</v>
      </c>
      <c r="P11" s="3">
        <v>25.7</v>
      </c>
      <c r="Q11" s="3">
        <v>25.8</v>
      </c>
      <c r="R11" s="3">
        <v>25.9</v>
      </c>
      <c r="S11" s="3">
        <v>26</v>
      </c>
      <c r="T11" s="3">
        <v>26.1</v>
      </c>
      <c r="U11" s="3">
        <v>26.2</v>
      </c>
      <c r="V11" s="3">
        <v>26.3</v>
      </c>
      <c r="W11" s="3">
        <v>26.4</v>
      </c>
      <c r="X11" s="3">
        <v>26.5</v>
      </c>
      <c r="Y11" s="3">
        <v>26.6</v>
      </c>
      <c r="Z11" s="3">
        <v>26.6</v>
      </c>
      <c r="AA11" s="3">
        <v>26.5</v>
      </c>
      <c r="AB11" s="3">
        <v>26.4</v>
      </c>
      <c r="AC11" s="3">
        <v>26.3</v>
      </c>
      <c r="AD11" s="3">
        <v>26.2</v>
      </c>
      <c r="AE11" s="3">
        <v>26.1</v>
      </c>
      <c r="AF11" s="3">
        <v>26</v>
      </c>
      <c r="AG11" s="3">
        <v>25.9</v>
      </c>
      <c r="AH11" s="3">
        <v>25.8</v>
      </c>
      <c r="AI11" s="3">
        <v>25.7</v>
      </c>
      <c r="AJ11" s="3">
        <v>25.6</v>
      </c>
      <c r="AK11" s="3">
        <v>25.5</v>
      </c>
      <c r="AL11" s="3">
        <v>25.4</v>
      </c>
      <c r="AM11" s="3">
        <v>25.3</v>
      </c>
      <c r="AN11" s="3">
        <v>25.2</v>
      </c>
      <c r="AO11" s="3">
        <v>25.1</v>
      </c>
      <c r="AP11" s="3">
        <v>25</v>
      </c>
      <c r="AQ11" s="3">
        <v>0.5</v>
      </c>
      <c r="AR11" s="3">
        <v>0.51</v>
      </c>
      <c r="AS11" s="3">
        <v>0.52</v>
      </c>
      <c r="AT11" s="3">
        <v>0.53</v>
      </c>
      <c r="AU11" s="3">
        <v>0.54</v>
      </c>
      <c r="AV11" s="3">
        <v>0.55000000000000004</v>
      </c>
      <c r="AW11" s="3">
        <v>0.56000000000000005</v>
      </c>
      <c r="AX11" s="3">
        <v>0.56999999999999995</v>
      </c>
      <c r="AY11" s="3">
        <v>0.57999999999999996</v>
      </c>
      <c r="AZ11" s="3">
        <v>0.59</v>
      </c>
      <c r="BA11" s="3">
        <v>0.6</v>
      </c>
      <c r="BB11" s="3">
        <v>0.61</v>
      </c>
      <c r="BC11" s="3">
        <v>0.62</v>
      </c>
      <c r="BD11" s="3">
        <v>0.63</v>
      </c>
      <c r="BE11" s="3">
        <v>0.64</v>
      </c>
      <c r="BF11" s="3">
        <v>0.65</v>
      </c>
      <c r="BG11" s="3">
        <v>0.66</v>
      </c>
      <c r="BH11" s="3">
        <v>0.01</v>
      </c>
      <c r="BI11" s="3">
        <v>0.02</v>
      </c>
      <c r="BJ11" s="3">
        <v>0.03</v>
      </c>
      <c r="BK11" s="3">
        <v>0.04</v>
      </c>
      <c r="BL11" s="3">
        <v>0.05</v>
      </c>
      <c r="BM11" s="3">
        <v>0.06</v>
      </c>
      <c r="BN11" s="3">
        <v>7.0000000000000007E-2</v>
      </c>
      <c r="BO11" s="3">
        <v>0.08</v>
      </c>
      <c r="BP11" s="3">
        <v>0.09</v>
      </c>
      <c r="BQ11" s="3">
        <v>0.1</v>
      </c>
      <c r="BR11" s="3">
        <v>0.11</v>
      </c>
      <c r="BS11" s="3">
        <v>0.12</v>
      </c>
      <c r="BT11" s="3">
        <v>0.13</v>
      </c>
      <c r="BU11" s="3">
        <v>0.14000000000000001</v>
      </c>
      <c r="BV11" s="3">
        <v>0.15</v>
      </c>
      <c r="BW11" s="3">
        <v>0.16</v>
      </c>
      <c r="BX11" s="3">
        <v>0.17</v>
      </c>
      <c r="BY11">
        <v>1</v>
      </c>
      <c r="BZ11">
        <v>2</v>
      </c>
      <c r="CA11">
        <v>3</v>
      </c>
      <c r="CB11">
        <v>4</v>
      </c>
      <c r="CC11">
        <v>5</v>
      </c>
      <c r="CD11">
        <v>6</v>
      </c>
      <c r="CE11">
        <v>7</v>
      </c>
      <c r="CF11">
        <v>8</v>
      </c>
      <c r="CG11">
        <v>9</v>
      </c>
      <c r="CH11">
        <v>10</v>
      </c>
      <c r="CI11">
        <v>11</v>
      </c>
      <c r="CJ11">
        <v>12</v>
      </c>
      <c r="CK11">
        <v>13</v>
      </c>
      <c r="CL11">
        <v>14</v>
      </c>
      <c r="CM11">
        <v>15</v>
      </c>
      <c r="CN11">
        <v>16</v>
      </c>
      <c r="CO11">
        <v>17</v>
      </c>
    </row>
    <row r="12" spans="1:93">
      <c r="A12" t="s">
        <v>36</v>
      </c>
      <c r="B12" s="3">
        <v>8</v>
      </c>
      <c r="C12" s="3">
        <v>9</v>
      </c>
      <c r="D12" t="s">
        <v>94</v>
      </c>
      <c r="E12" s="3">
        <v>1.3</v>
      </c>
      <c r="F12" t="s">
        <v>98</v>
      </c>
      <c r="G12" t="str">
        <f>'Simulation Information'!$C$27</f>
        <v>Summer casual</v>
      </c>
      <c r="H12" t="b">
        <v>0</v>
      </c>
      <c r="I12" s="3">
        <v>25</v>
      </c>
      <c r="J12" s="3">
        <v>25.1</v>
      </c>
      <c r="K12" s="3">
        <v>25.2</v>
      </c>
      <c r="L12" s="3">
        <v>25.3</v>
      </c>
      <c r="M12" s="3">
        <v>25.4</v>
      </c>
      <c r="N12" s="3">
        <v>25.5</v>
      </c>
      <c r="O12" s="3">
        <v>25.6</v>
      </c>
      <c r="P12" s="3">
        <v>25.7</v>
      </c>
      <c r="Q12" s="3">
        <v>25.8</v>
      </c>
      <c r="R12" s="3">
        <v>25.9</v>
      </c>
      <c r="S12" s="3">
        <v>26</v>
      </c>
      <c r="T12" s="3">
        <v>26.1</v>
      </c>
      <c r="U12" s="3">
        <v>26.2</v>
      </c>
      <c r="V12" s="3">
        <v>26.3</v>
      </c>
      <c r="W12" s="3">
        <v>26.4</v>
      </c>
      <c r="X12" s="3">
        <v>26.5</v>
      </c>
      <c r="Y12" s="3">
        <v>26.6</v>
      </c>
      <c r="Z12" s="3">
        <v>26.6</v>
      </c>
      <c r="AA12" s="3">
        <v>26.5</v>
      </c>
      <c r="AB12" s="3">
        <v>26.4</v>
      </c>
      <c r="AC12" s="3">
        <v>26.3</v>
      </c>
      <c r="AD12" s="3">
        <v>26.2</v>
      </c>
      <c r="AE12" s="3">
        <v>26.1</v>
      </c>
      <c r="AF12" s="3">
        <v>26</v>
      </c>
      <c r="AG12" s="3">
        <v>25.9</v>
      </c>
      <c r="AH12" s="3">
        <v>25.8</v>
      </c>
      <c r="AI12" s="3">
        <v>25.7</v>
      </c>
      <c r="AJ12" s="3">
        <v>25.6</v>
      </c>
      <c r="AK12" s="3">
        <v>25.5</v>
      </c>
      <c r="AL12" s="3">
        <v>25.4</v>
      </c>
      <c r="AM12" s="3">
        <v>25.3</v>
      </c>
      <c r="AN12" s="3">
        <v>25.2</v>
      </c>
      <c r="AO12" s="3">
        <v>25.1</v>
      </c>
      <c r="AP12" s="3">
        <v>25</v>
      </c>
      <c r="AQ12" s="3">
        <v>0.5</v>
      </c>
      <c r="AR12" s="3">
        <v>0.51</v>
      </c>
      <c r="AS12" s="3">
        <v>0.52</v>
      </c>
      <c r="AT12" s="3">
        <v>0.53</v>
      </c>
      <c r="AU12" s="3">
        <v>0.54</v>
      </c>
      <c r="AV12" s="3">
        <v>0.55000000000000004</v>
      </c>
      <c r="AW12" s="3">
        <v>0.56000000000000005</v>
      </c>
      <c r="AX12" s="3">
        <v>0.56999999999999995</v>
      </c>
      <c r="AY12" s="3">
        <v>0.57999999999999996</v>
      </c>
      <c r="AZ12" s="3">
        <v>0.59</v>
      </c>
      <c r="BA12" s="3">
        <v>0.6</v>
      </c>
      <c r="BB12" s="3">
        <v>0.61</v>
      </c>
      <c r="BC12" s="3">
        <v>0.62</v>
      </c>
      <c r="BD12" s="3">
        <v>0.63</v>
      </c>
      <c r="BE12" s="3">
        <v>0.64</v>
      </c>
      <c r="BF12" s="3">
        <v>0.65</v>
      </c>
      <c r="BG12" s="3">
        <v>0.66</v>
      </c>
      <c r="BH12" s="3">
        <v>0.01</v>
      </c>
      <c r="BI12" s="3">
        <v>0.02</v>
      </c>
      <c r="BJ12" s="3">
        <v>0.03</v>
      </c>
      <c r="BK12" s="3">
        <v>0.04</v>
      </c>
      <c r="BL12" s="3">
        <v>0.05</v>
      </c>
      <c r="BM12" s="3">
        <v>0.06</v>
      </c>
      <c r="BN12" s="3">
        <v>7.0000000000000007E-2</v>
      </c>
      <c r="BO12" s="3">
        <v>0.08</v>
      </c>
      <c r="BP12" s="3">
        <v>0.09</v>
      </c>
      <c r="BQ12" s="3">
        <v>0.1</v>
      </c>
      <c r="BR12" s="3">
        <v>0.11</v>
      </c>
      <c r="BS12" s="3">
        <v>0.12</v>
      </c>
      <c r="BT12" s="3">
        <v>0.13</v>
      </c>
      <c r="BU12" s="3">
        <v>0.14000000000000001</v>
      </c>
      <c r="BV12" s="3">
        <v>0.15</v>
      </c>
      <c r="BW12" s="3">
        <v>0.16</v>
      </c>
      <c r="BX12" s="3">
        <v>0.17</v>
      </c>
      <c r="BY12">
        <v>1</v>
      </c>
      <c r="BZ12">
        <v>2</v>
      </c>
      <c r="CA12">
        <v>3</v>
      </c>
      <c r="CB12">
        <v>4</v>
      </c>
      <c r="CC12">
        <v>5</v>
      </c>
      <c r="CD12">
        <v>6</v>
      </c>
      <c r="CE12">
        <v>7</v>
      </c>
      <c r="CF12">
        <v>8</v>
      </c>
      <c r="CG12">
        <v>9</v>
      </c>
      <c r="CH12">
        <v>10</v>
      </c>
      <c r="CI12">
        <v>11</v>
      </c>
      <c r="CJ12">
        <v>12</v>
      </c>
      <c r="CK12">
        <v>13</v>
      </c>
      <c r="CL12">
        <v>14</v>
      </c>
      <c r="CM12">
        <v>15</v>
      </c>
      <c r="CN12">
        <v>16</v>
      </c>
      <c r="CO12">
        <v>17</v>
      </c>
    </row>
    <row r="13" spans="1:93">
      <c r="A13" t="s">
        <v>36</v>
      </c>
      <c r="B13" s="3">
        <v>9</v>
      </c>
      <c r="C13" s="3">
        <v>10</v>
      </c>
      <c r="D13" t="s">
        <v>94</v>
      </c>
      <c r="E13" s="3">
        <v>1.3</v>
      </c>
      <c r="F13" t="s">
        <v>98</v>
      </c>
      <c r="G13" t="str">
        <f>'Simulation Information'!$C$27</f>
        <v>Summer casual</v>
      </c>
      <c r="H13" t="b">
        <v>0</v>
      </c>
      <c r="I13" s="3">
        <v>25</v>
      </c>
      <c r="J13" s="3">
        <v>25.1</v>
      </c>
      <c r="K13" s="3">
        <v>25.2</v>
      </c>
      <c r="L13" s="3">
        <v>25.3</v>
      </c>
      <c r="M13" s="3">
        <v>25.4</v>
      </c>
      <c r="N13" s="3">
        <v>25.5</v>
      </c>
      <c r="O13" s="3">
        <v>25.6</v>
      </c>
      <c r="P13" s="3">
        <v>25.7</v>
      </c>
      <c r="Q13" s="3">
        <v>25.8</v>
      </c>
      <c r="R13" s="3">
        <v>25.9</v>
      </c>
      <c r="S13" s="3">
        <v>26</v>
      </c>
      <c r="T13" s="3">
        <v>26.1</v>
      </c>
      <c r="U13" s="3">
        <v>26.2</v>
      </c>
      <c r="V13" s="3">
        <v>26.3</v>
      </c>
      <c r="W13" s="3">
        <v>26.4</v>
      </c>
      <c r="X13" s="3">
        <v>26.5</v>
      </c>
      <c r="Y13" s="3">
        <v>26.6</v>
      </c>
      <c r="Z13" s="3">
        <v>26.6</v>
      </c>
      <c r="AA13" s="3">
        <v>26.5</v>
      </c>
      <c r="AB13" s="3">
        <v>26.4</v>
      </c>
      <c r="AC13" s="3">
        <v>26.3</v>
      </c>
      <c r="AD13" s="3">
        <v>26.2</v>
      </c>
      <c r="AE13" s="3">
        <v>26.1</v>
      </c>
      <c r="AF13" s="3">
        <v>26</v>
      </c>
      <c r="AG13" s="3">
        <v>25.9</v>
      </c>
      <c r="AH13" s="3">
        <v>25.8</v>
      </c>
      <c r="AI13" s="3">
        <v>25.7</v>
      </c>
      <c r="AJ13" s="3">
        <v>25.6</v>
      </c>
      <c r="AK13" s="3">
        <v>25.5</v>
      </c>
      <c r="AL13" s="3">
        <v>25.4</v>
      </c>
      <c r="AM13" s="3">
        <v>25.3</v>
      </c>
      <c r="AN13" s="3">
        <v>25.2</v>
      </c>
      <c r="AO13" s="3">
        <v>25.1</v>
      </c>
      <c r="AP13" s="3">
        <v>25</v>
      </c>
      <c r="AQ13" s="3">
        <v>0.5</v>
      </c>
      <c r="AR13" s="3">
        <v>0.51</v>
      </c>
      <c r="AS13" s="3">
        <v>0.52</v>
      </c>
      <c r="AT13" s="3">
        <v>0.53</v>
      </c>
      <c r="AU13" s="3">
        <v>0.54</v>
      </c>
      <c r="AV13" s="3">
        <v>0.55000000000000004</v>
      </c>
      <c r="AW13" s="3">
        <v>0.56000000000000005</v>
      </c>
      <c r="AX13" s="3">
        <v>0.56999999999999995</v>
      </c>
      <c r="AY13" s="3">
        <v>0.57999999999999996</v>
      </c>
      <c r="AZ13" s="3">
        <v>0.59</v>
      </c>
      <c r="BA13" s="3">
        <v>0.6</v>
      </c>
      <c r="BB13" s="3">
        <v>0.61</v>
      </c>
      <c r="BC13" s="3">
        <v>0.62</v>
      </c>
      <c r="BD13" s="3">
        <v>0.63</v>
      </c>
      <c r="BE13" s="3">
        <v>0.64</v>
      </c>
      <c r="BF13" s="3">
        <v>0.65</v>
      </c>
      <c r="BG13" s="3">
        <v>0.66</v>
      </c>
      <c r="BH13" s="3">
        <v>0.01</v>
      </c>
      <c r="BI13" s="3">
        <v>0.02</v>
      </c>
      <c r="BJ13" s="3">
        <v>0.03</v>
      </c>
      <c r="BK13" s="3">
        <v>0.04</v>
      </c>
      <c r="BL13" s="3">
        <v>0.05</v>
      </c>
      <c r="BM13" s="3">
        <v>0.06</v>
      </c>
      <c r="BN13" s="3">
        <v>7.0000000000000007E-2</v>
      </c>
      <c r="BO13" s="3">
        <v>0.08</v>
      </c>
      <c r="BP13" s="3">
        <v>0.09</v>
      </c>
      <c r="BQ13" s="3">
        <v>0.1</v>
      </c>
      <c r="BR13" s="3">
        <v>0.11</v>
      </c>
      <c r="BS13" s="3">
        <v>0.12</v>
      </c>
      <c r="BT13" s="3">
        <v>0.13</v>
      </c>
      <c r="BU13" s="3">
        <v>0.14000000000000001</v>
      </c>
      <c r="BV13" s="3">
        <v>0.15</v>
      </c>
      <c r="BW13" s="3">
        <v>0.16</v>
      </c>
      <c r="BX13" s="3">
        <v>0.17</v>
      </c>
      <c r="BY13">
        <v>1</v>
      </c>
      <c r="BZ13">
        <v>2</v>
      </c>
      <c r="CA13">
        <v>3</v>
      </c>
      <c r="CB13">
        <v>4</v>
      </c>
      <c r="CC13">
        <v>5</v>
      </c>
      <c r="CD13">
        <v>6</v>
      </c>
      <c r="CE13">
        <v>7</v>
      </c>
      <c r="CF13">
        <v>8</v>
      </c>
      <c r="CG13">
        <v>9</v>
      </c>
      <c r="CH13">
        <v>10</v>
      </c>
      <c r="CI13">
        <v>11</v>
      </c>
      <c r="CJ13">
        <v>12</v>
      </c>
      <c r="CK13">
        <v>13</v>
      </c>
      <c r="CL13">
        <v>14</v>
      </c>
      <c r="CM13">
        <v>15</v>
      </c>
      <c r="CN13">
        <v>16</v>
      </c>
      <c r="CO13">
        <v>17</v>
      </c>
    </row>
    <row r="14" spans="1:93">
      <c r="A14" t="s">
        <v>23</v>
      </c>
      <c r="B14" s="3">
        <v>10</v>
      </c>
      <c r="C14" s="3">
        <v>11</v>
      </c>
      <c r="D14" t="s">
        <v>94</v>
      </c>
      <c r="E14" s="3">
        <v>1.3</v>
      </c>
      <c r="F14" t="s">
        <v>98</v>
      </c>
      <c r="G14" t="str">
        <f>'Simulation Information'!$C$27</f>
        <v>Summer casual</v>
      </c>
      <c r="H14" t="b">
        <v>0</v>
      </c>
      <c r="I14" s="3">
        <v>25</v>
      </c>
      <c r="J14" s="3">
        <v>25.1</v>
      </c>
      <c r="K14" s="3">
        <v>25.2</v>
      </c>
      <c r="L14" s="3">
        <v>25.3</v>
      </c>
      <c r="M14" s="3">
        <v>25.4</v>
      </c>
      <c r="N14" s="3">
        <v>25.5</v>
      </c>
      <c r="O14" s="3">
        <v>25.6</v>
      </c>
      <c r="P14" s="3">
        <v>25.7</v>
      </c>
      <c r="Q14" s="3">
        <v>25.8</v>
      </c>
      <c r="R14" s="3">
        <v>25.9</v>
      </c>
      <c r="S14" s="3">
        <v>26</v>
      </c>
      <c r="T14" s="3">
        <v>26.1</v>
      </c>
      <c r="U14" s="3">
        <v>26.2</v>
      </c>
      <c r="V14" s="3">
        <v>26.3</v>
      </c>
      <c r="W14" s="3">
        <v>26.4</v>
      </c>
      <c r="X14" s="3">
        <v>26.5</v>
      </c>
      <c r="Y14" s="3">
        <v>26.6</v>
      </c>
      <c r="Z14" s="3">
        <v>26.6</v>
      </c>
      <c r="AA14" s="3">
        <v>26.5</v>
      </c>
      <c r="AB14" s="3">
        <v>26.4</v>
      </c>
      <c r="AC14" s="3">
        <v>26.3</v>
      </c>
      <c r="AD14" s="3">
        <v>26.2</v>
      </c>
      <c r="AE14" s="3">
        <v>26.1</v>
      </c>
      <c r="AF14" s="3">
        <v>26</v>
      </c>
      <c r="AG14" s="3">
        <v>25.9</v>
      </c>
      <c r="AH14" s="3">
        <v>25.8</v>
      </c>
      <c r="AI14" s="3">
        <v>25.7</v>
      </c>
      <c r="AJ14" s="3">
        <v>25.6</v>
      </c>
      <c r="AK14" s="3">
        <v>25.5</v>
      </c>
      <c r="AL14" s="3">
        <v>25.4</v>
      </c>
      <c r="AM14" s="3">
        <v>25.3</v>
      </c>
      <c r="AN14" s="3">
        <v>25.2</v>
      </c>
      <c r="AO14" s="3">
        <v>25.1</v>
      </c>
      <c r="AP14" s="3">
        <v>25</v>
      </c>
      <c r="AQ14" s="3">
        <v>0.5</v>
      </c>
      <c r="AR14" s="3">
        <v>0.51</v>
      </c>
      <c r="AS14" s="3">
        <v>0.52</v>
      </c>
      <c r="AT14" s="3">
        <v>0.53</v>
      </c>
      <c r="AU14" s="3">
        <v>0.54</v>
      </c>
      <c r="AV14" s="3">
        <v>0.55000000000000004</v>
      </c>
      <c r="AW14" s="3">
        <v>0.56000000000000005</v>
      </c>
      <c r="AX14" s="3">
        <v>0.56999999999999995</v>
      </c>
      <c r="AY14" s="3">
        <v>0.57999999999999996</v>
      </c>
      <c r="AZ14" s="3">
        <v>0.59</v>
      </c>
      <c r="BA14" s="3">
        <v>0.6</v>
      </c>
      <c r="BB14" s="3">
        <v>0.61</v>
      </c>
      <c r="BC14" s="3">
        <v>0.62</v>
      </c>
      <c r="BD14" s="3">
        <v>0.63</v>
      </c>
      <c r="BE14" s="3">
        <v>0.64</v>
      </c>
      <c r="BF14" s="3">
        <v>0.65</v>
      </c>
      <c r="BG14" s="3">
        <v>0.66</v>
      </c>
      <c r="BH14" s="3">
        <v>0.01</v>
      </c>
      <c r="BI14" s="3">
        <v>0.02</v>
      </c>
      <c r="BJ14" s="3">
        <v>0.03</v>
      </c>
      <c r="BK14" s="3">
        <v>0.04</v>
      </c>
      <c r="BL14" s="3">
        <v>0.05</v>
      </c>
      <c r="BM14" s="3">
        <v>0.06</v>
      </c>
      <c r="BN14" s="3">
        <v>7.0000000000000007E-2</v>
      </c>
      <c r="BO14" s="3">
        <v>0.08</v>
      </c>
      <c r="BP14" s="3">
        <v>0.09</v>
      </c>
      <c r="BQ14" s="3">
        <v>0.1</v>
      </c>
      <c r="BR14" s="3">
        <v>0.11</v>
      </c>
      <c r="BS14" s="3">
        <v>0.12</v>
      </c>
      <c r="BT14" s="3">
        <v>0.13</v>
      </c>
      <c r="BU14" s="3">
        <v>0.14000000000000001</v>
      </c>
      <c r="BV14" s="3">
        <v>0.15</v>
      </c>
      <c r="BW14" s="3">
        <v>0.16</v>
      </c>
      <c r="BX14" s="3">
        <v>0.17</v>
      </c>
      <c r="BY14">
        <v>1</v>
      </c>
      <c r="BZ14">
        <v>2</v>
      </c>
      <c r="CA14">
        <v>3</v>
      </c>
      <c r="CB14">
        <v>4</v>
      </c>
      <c r="CC14">
        <v>5</v>
      </c>
      <c r="CD14">
        <v>6</v>
      </c>
      <c r="CE14">
        <v>7</v>
      </c>
      <c r="CF14">
        <v>8</v>
      </c>
      <c r="CG14">
        <v>9</v>
      </c>
      <c r="CH14">
        <v>10</v>
      </c>
      <c r="CI14">
        <v>11</v>
      </c>
      <c r="CJ14">
        <v>12</v>
      </c>
      <c r="CK14">
        <v>13</v>
      </c>
      <c r="CL14">
        <v>14</v>
      </c>
      <c r="CM14">
        <v>15</v>
      </c>
      <c r="CN14">
        <v>16</v>
      </c>
      <c r="CO14">
        <v>17</v>
      </c>
    </row>
    <row r="15" spans="1:93">
      <c r="A15" t="s">
        <v>23</v>
      </c>
      <c r="B15" s="3">
        <v>11</v>
      </c>
      <c r="C15" s="3">
        <v>12</v>
      </c>
      <c r="D15" t="s">
        <v>94</v>
      </c>
      <c r="E15" s="3">
        <v>1.3</v>
      </c>
      <c r="F15" t="s">
        <v>98</v>
      </c>
      <c r="G15" t="str">
        <f>'Simulation Information'!$C$27</f>
        <v>Summer casual</v>
      </c>
      <c r="H15" t="b">
        <v>0</v>
      </c>
      <c r="I15" s="3">
        <v>25</v>
      </c>
      <c r="J15" s="3">
        <v>25.1</v>
      </c>
      <c r="K15" s="3">
        <v>25.2</v>
      </c>
      <c r="L15" s="3">
        <v>25.3</v>
      </c>
      <c r="M15" s="3">
        <v>25.4</v>
      </c>
      <c r="N15" s="3">
        <v>25.5</v>
      </c>
      <c r="O15" s="3">
        <v>25.6</v>
      </c>
      <c r="P15" s="3">
        <v>25.7</v>
      </c>
      <c r="Q15" s="3">
        <v>25.8</v>
      </c>
      <c r="R15" s="3">
        <v>25.9</v>
      </c>
      <c r="S15" s="3">
        <v>26</v>
      </c>
      <c r="T15" s="3">
        <v>26.1</v>
      </c>
      <c r="U15" s="3">
        <v>26.2</v>
      </c>
      <c r="V15" s="3">
        <v>26.3</v>
      </c>
      <c r="W15" s="3">
        <v>26.4</v>
      </c>
      <c r="X15" s="3">
        <v>26.5</v>
      </c>
      <c r="Y15" s="3">
        <v>26.6</v>
      </c>
      <c r="Z15" s="3">
        <v>26.6</v>
      </c>
      <c r="AA15" s="3">
        <v>26.5</v>
      </c>
      <c r="AB15" s="3">
        <v>26.4</v>
      </c>
      <c r="AC15" s="3">
        <v>26.3</v>
      </c>
      <c r="AD15" s="3">
        <v>26.2</v>
      </c>
      <c r="AE15" s="3">
        <v>26.1</v>
      </c>
      <c r="AF15" s="3">
        <v>26</v>
      </c>
      <c r="AG15" s="3">
        <v>25.9</v>
      </c>
      <c r="AH15" s="3">
        <v>25.8</v>
      </c>
      <c r="AI15" s="3">
        <v>25.7</v>
      </c>
      <c r="AJ15" s="3">
        <v>25.6</v>
      </c>
      <c r="AK15" s="3">
        <v>25.5</v>
      </c>
      <c r="AL15" s="3">
        <v>25.4</v>
      </c>
      <c r="AM15" s="3">
        <v>25.3</v>
      </c>
      <c r="AN15" s="3">
        <v>25.2</v>
      </c>
      <c r="AO15" s="3">
        <v>25.1</v>
      </c>
      <c r="AP15" s="3">
        <v>25</v>
      </c>
      <c r="AQ15" s="3">
        <v>0.5</v>
      </c>
      <c r="AR15" s="3">
        <v>0.51</v>
      </c>
      <c r="AS15" s="3">
        <v>0.52</v>
      </c>
      <c r="AT15" s="3">
        <v>0.53</v>
      </c>
      <c r="AU15" s="3">
        <v>0.54</v>
      </c>
      <c r="AV15" s="3">
        <v>0.55000000000000004</v>
      </c>
      <c r="AW15" s="3">
        <v>0.56000000000000005</v>
      </c>
      <c r="AX15" s="3">
        <v>0.56999999999999995</v>
      </c>
      <c r="AY15" s="3">
        <v>0.57999999999999996</v>
      </c>
      <c r="AZ15" s="3">
        <v>0.59</v>
      </c>
      <c r="BA15" s="3">
        <v>0.6</v>
      </c>
      <c r="BB15" s="3">
        <v>0.61</v>
      </c>
      <c r="BC15" s="3">
        <v>0.62</v>
      </c>
      <c r="BD15" s="3">
        <v>0.63</v>
      </c>
      <c r="BE15" s="3">
        <v>0.64</v>
      </c>
      <c r="BF15" s="3">
        <v>0.65</v>
      </c>
      <c r="BG15" s="3">
        <v>0.66</v>
      </c>
      <c r="BH15" s="3">
        <v>0.01</v>
      </c>
      <c r="BI15" s="3">
        <v>0.02</v>
      </c>
      <c r="BJ15" s="3">
        <v>0.03</v>
      </c>
      <c r="BK15" s="3">
        <v>0.04</v>
      </c>
      <c r="BL15" s="3">
        <v>0.05</v>
      </c>
      <c r="BM15" s="3">
        <v>0.06</v>
      </c>
      <c r="BN15" s="3">
        <v>7.0000000000000007E-2</v>
      </c>
      <c r="BO15" s="3">
        <v>0.08</v>
      </c>
      <c r="BP15" s="3">
        <v>0.09</v>
      </c>
      <c r="BQ15" s="3">
        <v>0.1</v>
      </c>
      <c r="BR15" s="3">
        <v>0.11</v>
      </c>
      <c r="BS15" s="3">
        <v>0.12</v>
      </c>
      <c r="BT15" s="3">
        <v>0.13</v>
      </c>
      <c r="BU15" s="3">
        <v>0.14000000000000001</v>
      </c>
      <c r="BV15" s="3">
        <v>0.15</v>
      </c>
      <c r="BW15" s="3">
        <v>0.16</v>
      </c>
      <c r="BX15" s="3">
        <v>0.17</v>
      </c>
      <c r="BY15">
        <v>1</v>
      </c>
      <c r="BZ15">
        <v>2</v>
      </c>
      <c r="CA15">
        <v>3</v>
      </c>
      <c r="CB15">
        <v>4</v>
      </c>
      <c r="CC15">
        <v>5</v>
      </c>
      <c r="CD15">
        <v>6</v>
      </c>
      <c r="CE15">
        <v>7</v>
      </c>
      <c r="CF15">
        <v>8</v>
      </c>
      <c r="CG15">
        <v>9</v>
      </c>
      <c r="CH15">
        <v>10</v>
      </c>
      <c r="CI15">
        <v>11</v>
      </c>
      <c r="CJ15">
        <v>12</v>
      </c>
      <c r="CK15">
        <v>13</v>
      </c>
      <c r="CL15">
        <v>14</v>
      </c>
      <c r="CM15">
        <v>15</v>
      </c>
      <c r="CN15">
        <v>16</v>
      </c>
      <c r="CO15">
        <v>17</v>
      </c>
    </row>
    <row r="16" spans="1:93">
      <c r="A16" t="s">
        <v>23</v>
      </c>
      <c r="B16" s="3">
        <v>12</v>
      </c>
      <c r="C16" s="3">
        <v>13</v>
      </c>
      <c r="D16" t="s">
        <v>94</v>
      </c>
      <c r="E16" s="3">
        <v>1.3</v>
      </c>
      <c r="F16" t="s">
        <v>98</v>
      </c>
      <c r="G16" t="str">
        <f>'Simulation Information'!$C$27</f>
        <v>Summer casual</v>
      </c>
      <c r="H16" t="b">
        <v>0</v>
      </c>
      <c r="I16" s="3">
        <v>25</v>
      </c>
      <c r="J16" s="3">
        <v>25.1</v>
      </c>
      <c r="K16" s="3">
        <v>25.2</v>
      </c>
      <c r="L16" s="3">
        <v>25.3</v>
      </c>
      <c r="M16" s="3">
        <v>25.4</v>
      </c>
      <c r="N16" s="3">
        <v>25.5</v>
      </c>
      <c r="O16" s="3">
        <v>25.6</v>
      </c>
      <c r="P16" s="3">
        <v>25.7</v>
      </c>
      <c r="Q16" s="3">
        <v>25.8</v>
      </c>
      <c r="R16" s="3">
        <v>25.9</v>
      </c>
      <c r="S16" s="3">
        <v>26</v>
      </c>
      <c r="T16" s="3">
        <v>26.1</v>
      </c>
      <c r="U16" s="3">
        <v>26.2</v>
      </c>
      <c r="V16" s="3">
        <v>26.3</v>
      </c>
      <c r="W16" s="3">
        <v>26.4</v>
      </c>
      <c r="X16" s="3">
        <v>26.5</v>
      </c>
      <c r="Y16" s="3">
        <v>26.6</v>
      </c>
      <c r="Z16" s="3">
        <v>26.6</v>
      </c>
      <c r="AA16" s="3">
        <v>26.5</v>
      </c>
      <c r="AB16" s="3">
        <v>26.4</v>
      </c>
      <c r="AC16" s="3">
        <v>26.3</v>
      </c>
      <c r="AD16" s="3">
        <v>26.2</v>
      </c>
      <c r="AE16" s="3">
        <v>26.1</v>
      </c>
      <c r="AF16" s="3">
        <v>26</v>
      </c>
      <c r="AG16" s="3">
        <v>25.9</v>
      </c>
      <c r="AH16" s="3">
        <v>25.8</v>
      </c>
      <c r="AI16" s="3">
        <v>25.7</v>
      </c>
      <c r="AJ16" s="3">
        <v>25.6</v>
      </c>
      <c r="AK16" s="3">
        <v>25.5</v>
      </c>
      <c r="AL16" s="3">
        <v>25.4</v>
      </c>
      <c r="AM16" s="3">
        <v>25.3</v>
      </c>
      <c r="AN16" s="3">
        <v>25.2</v>
      </c>
      <c r="AO16" s="3">
        <v>25.1</v>
      </c>
      <c r="AP16" s="3">
        <v>25</v>
      </c>
      <c r="AQ16" s="3">
        <v>0.5</v>
      </c>
      <c r="AR16" s="3">
        <v>0.51</v>
      </c>
      <c r="AS16" s="3">
        <v>0.52</v>
      </c>
      <c r="AT16" s="3">
        <v>0.53</v>
      </c>
      <c r="AU16" s="3">
        <v>0.54</v>
      </c>
      <c r="AV16" s="3">
        <v>0.55000000000000004</v>
      </c>
      <c r="AW16" s="3">
        <v>0.56000000000000005</v>
      </c>
      <c r="AX16" s="3">
        <v>0.56999999999999995</v>
      </c>
      <c r="AY16" s="3">
        <v>0.57999999999999996</v>
      </c>
      <c r="AZ16" s="3">
        <v>0.59</v>
      </c>
      <c r="BA16" s="3">
        <v>0.6</v>
      </c>
      <c r="BB16" s="3">
        <v>0.61</v>
      </c>
      <c r="BC16" s="3">
        <v>0.62</v>
      </c>
      <c r="BD16" s="3">
        <v>0.63</v>
      </c>
      <c r="BE16" s="3">
        <v>0.64</v>
      </c>
      <c r="BF16" s="3">
        <v>0.65</v>
      </c>
      <c r="BG16" s="3">
        <v>0.66</v>
      </c>
      <c r="BH16" s="3">
        <v>0.01</v>
      </c>
      <c r="BI16" s="3">
        <v>0.02</v>
      </c>
      <c r="BJ16" s="3">
        <v>0.03</v>
      </c>
      <c r="BK16" s="3">
        <v>0.04</v>
      </c>
      <c r="BL16" s="3">
        <v>0.05</v>
      </c>
      <c r="BM16" s="3">
        <v>0.06</v>
      </c>
      <c r="BN16" s="3">
        <v>7.0000000000000007E-2</v>
      </c>
      <c r="BO16" s="3">
        <v>0.08</v>
      </c>
      <c r="BP16" s="3">
        <v>0.09</v>
      </c>
      <c r="BQ16" s="3">
        <v>0.1</v>
      </c>
      <c r="BR16" s="3">
        <v>0.11</v>
      </c>
      <c r="BS16" s="3">
        <v>0.12</v>
      </c>
      <c r="BT16" s="3">
        <v>0.13</v>
      </c>
      <c r="BU16" s="3">
        <v>0.14000000000000001</v>
      </c>
      <c r="BV16" s="3">
        <v>0.15</v>
      </c>
      <c r="BW16" s="3">
        <v>0.16</v>
      </c>
      <c r="BX16" s="3">
        <v>0.17</v>
      </c>
      <c r="BY16">
        <v>1</v>
      </c>
      <c r="BZ16">
        <v>2</v>
      </c>
      <c r="CA16">
        <v>3</v>
      </c>
      <c r="CB16">
        <v>4</v>
      </c>
      <c r="CC16">
        <v>5</v>
      </c>
      <c r="CD16">
        <v>6</v>
      </c>
      <c r="CE16">
        <v>7</v>
      </c>
      <c r="CF16">
        <v>8</v>
      </c>
      <c r="CG16">
        <v>9</v>
      </c>
      <c r="CH16">
        <v>10</v>
      </c>
      <c r="CI16">
        <v>11</v>
      </c>
      <c r="CJ16">
        <v>12</v>
      </c>
      <c r="CK16">
        <v>13</v>
      </c>
      <c r="CL16">
        <v>14</v>
      </c>
      <c r="CM16">
        <v>15</v>
      </c>
      <c r="CN16">
        <v>16</v>
      </c>
      <c r="CO16">
        <v>17</v>
      </c>
    </row>
    <row r="17" spans="1:93">
      <c r="A17" t="s">
        <v>23</v>
      </c>
      <c r="B17" s="3">
        <v>13</v>
      </c>
      <c r="C17" s="3">
        <v>14</v>
      </c>
      <c r="D17" t="s">
        <v>94</v>
      </c>
      <c r="E17" s="3">
        <v>1.3</v>
      </c>
      <c r="F17" t="s">
        <v>98</v>
      </c>
      <c r="G17" t="str">
        <f>'Simulation Information'!$C$27</f>
        <v>Summer casual</v>
      </c>
      <c r="H17" t="b">
        <v>0</v>
      </c>
      <c r="I17" s="3">
        <v>25</v>
      </c>
      <c r="J17" s="3">
        <v>25.1</v>
      </c>
      <c r="K17" s="3">
        <v>25.2</v>
      </c>
      <c r="L17" s="3">
        <v>25.3</v>
      </c>
      <c r="M17" s="3">
        <v>25.4</v>
      </c>
      <c r="N17" s="3">
        <v>25.5</v>
      </c>
      <c r="O17" s="3">
        <v>25.6</v>
      </c>
      <c r="P17" s="3">
        <v>25.7</v>
      </c>
      <c r="Q17" s="3">
        <v>25.8</v>
      </c>
      <c r="R17" s="3">
        <v>25.9</v>
      </c>
      <c r="S17" s="3">
        <v>26</v>
      </c>
      <c r="T17" s="3">
        <v>26.1</v>
      </c>
      <c r="U17" s="3">
        <v>26.2</v>
      </c>
      <c r="V17" s="3">
        <v>26.3</v>
      </c>
      <c r="W17" s="3">
        <v>26.4</v>
      </c>
      <c r="X17" s="3">
        <v>26.5</v>
      </c>
      <c r="Y17" s="3">
        <v>26.6</v>
      </c>
      <c r="Z17" s="3">
        <v>26.6</v>
      </c>
      <c r="AA17" s="3">
        <v>26.5</v>
      </c>
      <c r="AB17" s="3">
        <v>26.4</v>
      </c>
      <c r="AC17" s="3">
        <v>26.3</v>
      </c>
      <c r="AD17" s="3">
        <v>26.2</v>
      </c>
      <c r="AE17" s="3">
        <v>26.1</v>
      </c>
      <c r="AF17" s="3">
        <v>26</v>
      </c>
      <c r="AG17" s="3">
        <v>25.9</v>
      </c>
      <c r="AH17" s="3">
        <v>25.8</v>
      </c>
      <c r="AI17" s="3">
        <v>25.7</v>
      </c>
      <c r="AJ17" s="3">
        <v>25.6</v>
      </c>
      <c r="AK17" s="3">
        <v>25.5</v>
      </c>
      <c r="AL17" s="3">
        <v>25.4</v>
      </c>
      <c r="AM17" s="3">
        <v>25.3</v>
      </c>
      <c r="AN17" s="3">
        <v>25.2</v>
      </c>
      <c r="AO17" s="3">
        <v>25.1</v>
      </c>
      <c r="AP17" s="3">
        <v>25</v>
      </c>
      <c r="AQ17" s="3">
        <v>0.5</v>
      </c>
      <c r="AR17" s="3">
        <v>0.51</v>
      </c>
      <c r="AS17" s="3">
        <v>0.52</v>
      </c>
      <c r="AT17" s="3">
        <v>0.53</v>
      </c>
      <c r="AU17" s="3">
        <v>0.54</v>
      </c>
      <c r="AV17" s="3">
        <v>0.55000000000000004</v>
      </c>
      <c r="AW17" s="3">
        <v>0.56000000000000005</v>
      </c>
      <c r="AX17" s="3">
        <v>0.56999999999999995</v>
      </c>
      <c r="AY17" s="3">
        <v>0.57999999999999996</v>
      </c>
      <c r="AZ17" s="3">
        <v>0.59</v>
      </c>
      <c r="BA17" s="3">
        <v>0.6</v>
      </c>
      <c r="BB17" s="3">
        <v>0.61</v>
      </c>
      <c r="BC17" s="3">
        <v>0.62</v>
      </c>
      <c r="BD17" s="3">
        <v>0.63</v>
      </c>
      <c r="BE17" s="3">
        <v>0.64</v>
      </c>
      <c r="BF17" s="3">
        <v>0.65</v>
      </c>
      <c r="BG17" s="3">
        <v>0.66</v>
      </c>
      <c r="BH17" s="3">
        <v>0.01</v>
      </c>
      <c r="BI17" s="3">
        <v>0.02</v>
      </c>
      <c r="BJ17" s="3">
        <v>0.03</v>
      </c>
      <c r="BK17" s="3">
        <v>0.04</v>
      </c>
      <c r="BL17" s="3">
        <v>0.05</v>
      </c>
      <c r="BM17" s="3">
        <v>0.06</v>
      </c>
      <c r="BN17" s="3">
        <v>7.0000000000000007E-2</v>
      </c>
      <c r="BO17" s="3">
        <v>0.08</v>
      </c>
      <c r="BP17" s="3">
        <v>0.09</v>
      </c>
      <c r="BQ17" s="3">
        <v>0.1</v>
      </c>
      <c r="BR17" s="3">
        <v>0.11</v>
      </c>
      <c r="BS17" s="3">
        <v>0.12</v>
      </c>
      <c r="BT17" s="3">
        <v>0.13</v>
      </c>
      <c r="BU17" s="3">
        <v>0.14000000000000001</v>
      </c>
      <c r="BV17" s="3">
        <v>0.15</v>
      </c>
      <c r="BW17" s="3">
        <v>0.16</v>
      </c>
      <c r="BX17" s="3">
        <v>0.17</v>
      </c>
      <c r="BY17">
        <v>1</v>
      </c>
      <c r="BZ17">
        <v>2</v>
      </c>
      <c r="CA17">
        <v>3</v>
      </c>
      <c r="CB17">
        <v>4</v>
      </c>
      <c r="CC17">
        <v>5</v>
      </c>
      <c r="CD17">
        <v>6</v>
      </c>
      <c r="CE17">
        <v>7</v>
      </c>
      <c r="CF17">
        <v>8</v>
      </c>
      <c r="CG17">
        <v>9</v>
      </c>
      <c r="CH17">
        <v>10</v>
      </c>
      <c r="CI17">
        <v>11</v>
      </c>
      <c r="CJ17">
        <v>12</v>
      </c>
      <c r="CK17">
        <v>13</v>
      </c>
      <c r="CL17">
        <v>14</v>
      </c>
      <c r="CM17">
        <v>15</v>
      </c>
      <c r="CN17">
        <v>16</v>
      </c>
      <c r="CO17">
        <v>17</v>
      </c>
    </row>
    <row r="18" spans="1:93">
      <c r="A18" t="s">
        <v>23</v>
      </c>
      <c r="B18" s="3">
        <v>14</v>
      </c>
      <c r="C18" s="3">
        <v>15</v>
      </c>
      <c r="D18" t="s">
        <v>94</v>
      </c>
      <c r="E18" s="3">
        <v>1.3</v>
      </c>
      <c r="F18" t="s">
        <v>98</v>
      </c>
      <c r="G18" t="str">
        <f>'Simulation Information'!$C$27</f>
        <v>Summer casual</v>
      </c>
      <c r="H18" t="b">
        <v>0</v>
      </c>
      <c r="I18" s="3">
        <v>25</v>
      </c>
      <c r="J18" s="3">
        <v>25.1</v>
      </c>
      <c r="K18" s="3">
        <v>25.2</v>
      </c>
      <c r="L18" s="3">
        <v>25.3</v>
      </c>
      <c r="M18" s="3">
        <v>25.4</v>
      </c>
      <c r="N18" s="3">
        <v>25.5</v>
      </c>
      <c r="O18" s="3">
        <v>25.6</v>
      </c>
      <c r="P18" s="3">
        <v>25.7</v>
      </c>
      <c r="Q18" s="3">
        <v>25.8</v>
      </c>
      <c r="R18" s="3">
        <v>25.9</v>
      </c>
      <c r="S18" s="3">
        <v>26</v>
      </c>
      <c r="T18" s="3">
        <v>26.1</v>
      </c>
      <c r="U18" s="3">
        <v>26.2</v>
      </c>
      <c r="V18" s="3">
        <v>26.3</v>
      </c>
      <c r="W18" s="3">
        <v>26.4</v>
      </c>
      <c r="X18" s="3">
        <v>26.5</v>
      </c>
      <c r="Y18" s="3">
        <v>26.6</v>
      </c>
      <c r="Z18" s="3">
        <v>26.6</v>
      </c>
      <c r="AA18" s="3">
        <v>26.5</v>
      </c>
      <c r="AB18" s="3">
        <v>26.4</v>
      </c>
      <c r="AC18" s="3">
        <v>26.3</v>
      </c>
      <c r="AD18" s="3">
        <v>26.2</v>
      </c>
      <c r="AE18" s="3">
        <v>26.1</v>
      </c>
      <c r="AF18" s="3">
        <v>26</v>
      </c>
      <c r="AG18" s="3">
        <v>25.9</v>
      </c>
      <c r="AH18" s="3">
        <v>25.8</v>
      </c>
      <c r="AI18" s="3">
        <v>25.7</v>
      </c>
      <c r="AJ18" s="3">
        <v>25.6</v>
      </c>
      <c r="AK18" s="3">
        <v>25.5</v>
      </c>
      <c r="AL18" s="3">
        <v>25.4</v>
      </c>
      <c r="AM18" s="3">
        <v>25.3</v>
      </c>
      <c r="AN18" s="3">
        <v>25.2</v>
      </c>
      <c r="AO18" s="3">
        <v>25.1</v>
      </c>
      <c r="AP18" s="3">
        <v>25</v>
      </c>
      <c r="AQ18" s="3">
        <v>0.5</v>
      </c>
      <c r="AR18" s="3">
        <v>0.51</v>
      </c>
      <c r="AS18" s="3">
        <v>0.52</v>
      </c>
      <c r="AT18" s="3">
        <v>0.53</v>
      </c>
      <c r="AU18" s="3">
        <v>0.54</v>
      </c>
      <c r="AV18" s="3">
        <v>0.55000000000000004</v>
      </c>
      <c r="AW18" s="3">
        <v>0.56000000000000005</v>
      </c>
      <c r="AX18" s="3">
        <v>0.56999999999999995</v>
      </c>
      <c r="AY18" s="3">
        <v>0.57999999999999996</v>
      </c>
      <c r="AZ18" s="3">
        <v>0.59</v>
      </c>
      <c r="BA18" s="3">
        <v>0.6</v>
      </c>
      <c r="BB18" s="3">
        <v>0.61</v>
      </c>
      <c r="BC18" s="3">
        <v>0.62</v>
      </c>
      <c r="BD18" s="3">
        <v>0.63</v>
      </c>
      <c r="BE18" s="3">
        <v>0.64</v>
      </c>
      <c r="BF18" s="3">
        <v>0.65</v>
      </c>
      <c r="BG18" s="3">
        <v>0.66</v>
      </c>
      <c r="BH18" s="3">
        <v>0.01</v>
      </c>
      <c r="BI18" s="3">
        <v>0.02</v>
      </c>
      <c r="BJ18" s="3">
        <v>0.03</v>
      </c>
      <c r="BK18" s="3">
        <v>0.04</v>
      </c>
      <c r="BL18" s="3">
        <v>0.05</v>
      </c>
      <c r="BM18" s="3">
        <v>0.06</v>
      </c>
      <c r="BN18" s="3">
        <v>7.0000000000000007E-2</v>
      </c>
      <c r="BO18" s="3">
        <v>0.08</v>
      </c>
      <c r="BP18" s="3">
        <v>0.09</v>
      </c>
      <c r="BQ18" s="3">
        <v>0.1</v>
      </c>
      <c r="BR18" s="3">
        <v>0.11</v>
      </c>
      <c r="BS18" s="3">
        <v>0.12</v>
      </c>
      <c r="BT18" s="3">
        <v>0.13</v>
      </c>
      <c r="BU18" s="3">
        <v>0.14000000000000001</v>
      </c>
      <c r="BV18" s="3">
        <v>0.15</v>
      </c>
      <c r="BW18" s="3">
        <v>0.16</v>
      </c>
      <c r="BX18" s="3">
        <v>0.17</v>
      </c>
      <c r="BY18">
        <v>1</v>
      </c>
      <c r="BZ18">
        <v>2</v>
      </c>
      <c r="CA18">
        <v>3</v>
      </c>
      <c r="CB18">
        <v>4</v>
      </c>
      <c r="CC18">
        <v>5</v>
      </c>
      <c r="CD18">
        <v>6</v>
      </c>
      <c r="CE18">
        <v>7</v>
      </c>
      <c r="CF18">
        <v>8</v>
      </c>
      <c r="CG18">
        <v>9</v>
      </c>
      <c r="CH18">
        <v>10</v>
      </c>
      <c r="CI18">
        <v>11</v>
      </c>
      <c r="CJ18">
        <v>12</v>
      </c>
      <c r="CK18">
        <v>13</v>
      </c>
      <c r="CL18">
        <v>14</v>
      </c>
      <c r="CM18">
        <v>15</v>
      </c>
      <c r="CN18">
        <v>16</v>
      </c>
      <c r="CO18">
        <v>17</v>
      </c>
    </row>
    <row r="19" spans="1:93">
      <c r="A19" t="s">
        <v>23</v>
      </c>
      <c r="B19" s="3">
        <v>15</v>
      </c>
      <c r="C19" s="3">
        <v>16</v>
      </c>
      <c r="D19" t="s">
        <v>94</v>
      </c>
      <c r="E19" s="3">
        <v>1.3</v>
      </c>
      <c r="F19" t="s">
        <v>98</v>
      </c>
      <c r="G19" t="str">
        <f>'Simulation Information'!$C$27</f>
        <v>Summer casual</v>
      </c>
      <c r="H19" t="b">
        <v>0</v>
      </c>
      <c r="I19" s="3">
        <v>25</v>
      </c>
      <c r="J19" s="3">
        <v>25.1</v>
      </c>
      <c r="K19" s="3">
        <v>25.2</v>
      </c>
      <c r="L19" s="3">
        <v>25.3</v>
      </c>
      <c r="M19" s="3">
        <v>25.4</v>
      </c>
      <c r="N19" s="3">
        <v>25.5</v>
      </c>
      <c r="O19" s="3">
        <v>25.6</v>
      </c>
      <c r="P19" s="3">
        <v>25.7</v>
      </c>
      <c r="Q19" s="3">
        <v>25.8</v>
      </c>
      <c r="R19" s="3">
        <v>25.9</v>
      </c>
      <c r="S19" s="3">
        <v>26</v>
      </c>
      <c r="T19" s="3">
        <v>26.1</v>
      </c>
      <c r="U19" s="3">
        <v>26.2</v>
      </c>
      <c r="V19" s="3">
        <v>26.3</v>
      </c>
      <c r="W19" s="3">
        <v>26.4</v>
      </c>
      <c r="X19" s="3">
        <v>26.5</v>
      </c>
      <c r="Y19" s="3">
        <v>26.6</v>
      </c>
      <c r="Z19" s="3">
        <v>26.6</v>
      </c>
      <c r="AA19" s="3">
        <v>26.5</v>
      </c>
      <c r="AB19" s="3">
        <v>26.4</v>
      </c>
      <c r="AC19" s="3">
        <v>26.3</v>
      </c>
      <c r="AD19" s="3">
        <v>26.2</v>
      </c>
      <c r="AE19" s="3">
        <v>26.1</v>
      </c>
      <c r="AF19" s="3">
        <v>26</v>
      </c>
      <c r="AG19" s="3">
        <v>25.9</v>
      </c>
      <c r="AH19" s="3">
        <v>25.8</v>
      </c>
      <c r="AI19" s="3">
        <v>25.7</v>
      </c>
      <c r="AJ19" s="3">
        <v>25.6</v>
      </c>
      <c r="AK19" s="3">
        <v>25.5</v>
      </c>
      <c r="AL19" s="3">
        <v>25.4</v>
      </c>
      <c r="AM19" s="3">
        <v>25.3</v>
      </c>
      <c r="AN19" s="3">
        <v>25.2</v>
      </c>
      <c r="AO19" s="3">
        <v>25.1</v>
      </c>
      <c r="AP19" s="3">
        <v>25</v>
      </c>
      <c r="AQ19" s="3">
        <v>0.5</v>
      </c>
      <c r="AR19" s="3">
        <v>0.51</v>
      </c>
      <c r="AS19" s="3">
        <v>0.52</v>
      </c>
      <c r="AT19" s="3">
        <v>0.53</v>
      </c>
      <c r="AU19" s="3">
        <v>0.54</v>
      </c>
      <c r="AV19" s="3">
        <v>0.55000000000000004</v>
      </c>
      <c r="AW19" s="3">
        <v>0.56000000000000005</v>
      </c>
      <c r="AX19" s="3">
        <v>0.56999999999999995</v>
      </c>
      <c r="AY19" s="3">
        <v>0.57999999999999996</v>
      </c>
      <c r="AZ19" s="3">
        <v>0.59</v>
      </c>
      <c r="BA19" s="3">
        <v>0.6</v>
      </c>
      <c r="BB19" s="3">
        <v>0.61</v>
      </c>
      <c r="BC19" s="3">
        <v>0.62</v>
      </c>
      <c r="BD19" s="3">
        <v>0.63</v>
      </c>
      <c r="BE19" s="3">
        <v>0.64</v>
      </c>
      <c r="BF19" s="3">
        <v>0.65</v>
      </c>
      <c r="BG19" s="3">
        <v>0.66</v>
      </c>
      <c r="BH19" s="3">
        <v>0.01</v>
      </c>
      <c r="BI19" s="3">
        <v>0.02</v>
      </c>
      <c r="BJ19" s="3">
        <v>0.03</v>
      </c>
      <c r="BK19" s="3">
        <v>0.04</v>
      </c>
      <c r="BL19" s="3">
        <v>0.05</v>
      </c>
      <c r="BM19" s="3">
        <v>0.06</v>
      </c>
      <c r="BN19" s="3">
        <v>7.0000000000000007E-2</v>
      </c>
      <c r="BO19" s="3">
        <v>0.08</v>
      </c>
      <c r="BP19" s="3">
        <v>0.09</v>
      </c>
      <c r="BQ19" s="3">
        <v>0.1</v>
      </c>
      <c r="BR19" s="3">
        <v>0.11</v>
      </c>
      <c r="BS19" s="3">
        <v>0.12</v>
      </c>
      <c r="BT19" s="3">
        <v>0.13</v>
      </c>
      <c r="BU19" s="3">
        <v>0.14000000000000001</v>
      </c>
      <c r="BV19" s="3">
        <v>0.15</v>
      </c>
      <c r="BW19" s="3">
        <v>0.16</v>
      </c>
      <c r="BX19" s="3">
        <v>0.17</v>
      </c>
      <c r="BY19">
        <v>1</v>
      </c>
      <c r="BZ19">
        <v>2</v>
      </c>
      <c r="CA19">
        <v>3</v>
      </c>
      <c r="CB19">
        <v>4</v>
      </c>
      <c r="CC19">
        <v>5</v>
      </c>
      <c r="CD19">
        <v>6</v>
      </c>
      <c r="CE19">
        <v>7</v>
      </c>
      <c r="CF19">
        <v>8</v>
      </c>
      <c r="CG19">
        <v>9</v>
      </c>
      <c r="CH19">
        <v>10</v>
      </c>
      <c r="CI19">
        <v>11</v>
      </c>
      <c r="CJ19">
        <v>12</v>
      </c>
      <c r="CK19">
        <v>13</v>
      </c>
      <c r="CL19">
        <v>14</v>
      </c>
      <c r="CM19">
        <v>15</v>
      </c>
      <c r="CN19">
        <v>16</v>
      </c>
      <c r="CO19">
        <v>17</v>
      </c>
    </row>
    <row r="20" spans="1:93">
      <c r="A20" t="s">
        <v>23</v>
      </c>
      <c r="B20" s="3">
        <v>16</v>
      </c>
      <c r="C20" s="3">
        <v>17</v>
      </c>
      <c r="D20" t="s">
        <v>94</v>
      </c>
      <c r="E20" s="3">
        <v>1.3</v>
      </c>
      <c r="F20" t="s">
        <v>98</v>
      </c>
      <c r="G20" t="str">
        <f>'Simulation Information'!$C$27</f>
        <v>Summer casual</v>
      </c>
      <c r="H20" t="b">
        <v>0</v>
      </c>
      <c r="I20" s="3">
        <v>25</v>
      </c>
      <c r="J20" s="3">
        <v>25.1</v>
      </c>
      <c r="K20" s="3">
        <v>25.2</v>
      </c>
      <c r="L20" s="3">
        <v>25.3</v>
      </c>
      <c r="M20" s="3">
        <v>25.4</v>
      </c>
      <c r="N20" s="3">
        <v>25.5</v>
      </c>
      <c r="O20" s="3">
        <v>25.6</v>
      </c>
      <c r="P20" s="3">
        <v>25.7</v>
      </c>
      <c r="Q20" s="3">
        <v>25.8</v>
      </c>
      <c r="R20" s="3">
        <v>25.9</v>
      </c>
      <c r="S20" s="3">
        <v>26</v>
      </c>
      <c r="T20" s="3">
        <v>26.1</v>
      </c>
      <c r="U20" s="3">
        <v>26.2</v>
      </c>
      <c r="V20" s="3">
        <v>26.3</v>
      </c>
      <c r="W20" s="3">
        <v>26.4</v>
      </c>
      <c r="X20" s="3">
        <v>26.5</v>
      </c>
      <c r="Y20" s="3">
        <v>26.6</v>
      </c>
      <c r="Z20" s="3">
        <v>26.6</v>
      </c>
      <c r="AA20" s="3">
        <v>26.5</v>
      </c>
      <c r="AB20" s="3">
        <v>26.4</v>
      </c>
      <c r="AC20" s="3">
        <v>26.3</v>
      </c>
      <c r="AD20" s="3">
        <v>26.2</v>
      </c>
      <c r="AE20" s="3">
        <v>26.1</v>
      </c>
      <c r="AF20" s="3">
        <v>26</v>
      </c>
      <c r="AG20" s="3">
        <v>25.9</v>
      </c>
      <c r="AH20" s="3">
        <v>25.8</v>
      </c>
      <c r="AI20" s="3">
        <v>25.7</v>
      </c>
      <c r="AJ20" s="3">
        <v>25.6</v>
      </c>
      <c r="AK20" s="3">
        <v>25.5</v>
      </c>
      <c r="AL20" s="3">
        <v>25.4</v>
      </c>
      <c r="AM20" s="3">
        <v>25.3</v>
      </c>
      <c r="AN20" s="3">
        <v>25.2</v>
      </c>
      <c r="AO20" s="3">
        <v>25.1</v>
      </c>
      <c r="AP20" s="3">
        <v>25</v>
      </c>
      <c r="AQ20" s="3">
        <v>0.5</v>
      </c>
      <c r="AR20" s="3">
        <v>0.51</v>
      </c>
      <c r="AS20" s="3">
        <v>0.52</v>
      </c>
      <c r="AT20" s="3">
        <v>0.53</v>
      </c>
      <c r="AU20" s="3">
        <v>0.54</v>
      </c>
      <c r="AV20" s="3">
        <v>0.55000000000000004</v>
      </c>
      <c r="AW20" s="3">
        <v>0.56000000000000005</v>
      </c>
      <c r="AX20" s="3">
        <v>0.56999999999999995</v>
      </c>
      <c r="AY20" s="3">
        <v>0.57999999999999996</v>
      </c>
      <c r="AZ20" s="3">
        <v>0.59</v>
      </c>
      <c r="BA20" s="3">
        <v>0.6</v>
      </c>
      <c r="BB20" s="3">
        <v>0.61</v>
      </c>
      <c r="BC20" s="3">
        <v>0.62</v>
      </c>
      <c r="BD20" s="3">
        <v>0.63</v>
      </c>
      <c r="BE20" s="3">
        <v>0.64</v>
      </c>
      <c r="BF20" s="3">
        <v>0.65</v>
      </c>
      <c r="BG20" s="3">
        <v>0.66</v>
      </c>
      <c r="BH20" s="3">
        <v>0.01</v>
      </c>
      <c r="BI20" s="3">
        <v>0.02</v>
      </c>
      <c r="BJ20" s="3">
        <v>0.03</v>
      </c>
      <c r="BK20" s="3">
        <v>0.04</v>
      </c>
      <c r="BL20" s="3">
        <v>0.05</v>
      </c>
      <c r="BM20" s="3">
        <v>0.06</v>
      </c>
      <c r="BN20" s="3">
        <v>7.0000000000000007E-2</v>
      </c>
      <c r="BO20" s="3">
        <v>0.08</v>
      </c>
      <c r="BP20" s="3">
        <v>0.09</v>
      </c>
      <c r="BQ20" s="3">
        <v>0.1</v>
      </c>
      <c r="BR20" s="3">
        <v>0.11</v>
      </c>
      <c r="BS20" s="3">
        <v>0.12</v>
      </c>
      <c r="BT20" s="3">
        <v>0.13</v>
      </c>
      <c r="BU20" s="3">
        <v>0.14000000000000001</v>
      </c>
      <c r="BV20" s="3">
        <v>0.15</v>
      </c>
      <c r="BW20" s="3">
        <v>0.16</v>
      </c>
      <c r="BX20" s="3">
        <v>0.17</v>
      </c>
      <c r="BY20">
        <v>1</v>
      </c>
      <c r="BZ20">
        <v>2</v>
      </c>
      <c r="CA20">
        <v>3</v>
      </c>
      <c r="CB20">
        <v>4</v>
      </c>
      <c r="CC20">
        <v>5</v>
      </c>
      <c r="CD20">
        <v>6</v>
      </c>
      <c r="CE20">
        <v>7</v>
      </c>
      <c r="CF20">
        <v>8</v>
      </c>
      <c r="CG20">
        <v>9</v>
      </c>
      <c r="CH20">
        <v>10</v>
      </c>
      <c r="CI20">
        <v>11</v>
      </c>
      <c r="CJ20">
        <v>12</v>
      </c>
      <c r="CK20">
        <v>13</v>
      </c>
      <c r="CL20">
        <v>14</v>
      </c>
      <c r="CM20">
        <v>15</v>
      </c>
      <c r="CN20">
        <v>16</v>
      </c>
      <c r="CO20">
        <v>17</v>
      </c>
    </row>
    <row r="21" spans="1:93">
      <c r="A21" t="s">
        <v>23</v>
      </c>
      <c r="B21" s="3">
        <v>17</v>
      </c>
      <c r="C21" s="3">
        <v>18</v>
      </c>
      <c r="D21" t="s">
        <v>94</v>
      </c>
      <c r="E21" s="3">
        <v>1.3</v>
      </c>
      <c r="F21" t="s">
        <v>98</v>
      </c>
      <c r="G21" t="str">
        <f>'Simulation Information'!$C$27</f>
        <v>Summer casual</v>
      </c>
      <c r="H21" t="b">
        <v>0</v>
      </c>
      <c r="I21" s="3">
        <v>25</v>
      </c>
      <c r="J21" s="3">
        <v>25.1</v>
      </c>
      <c r="K21" s="3">
        <v>25.2</v>
      </c>
      <c r="L21" s="3">
        <v>25.3</v>
      </c>
      <c r="M21" s="3">
        <v>25.4</v>
      </c>
      <c r="N21" s="3">
        <v>25.5</v>
      </c>
      <c r="O21" s="3">
        <v>25.6</v>
      </c>
      <c r="P21" s="3">
        <v>25.7</v>
      </c>
      <c r="Q21" s="3">
        <v>25.8</v>
      </c>
      <c r="R21" s="3">
        <v>25.9</v>
      </c>
      <c r="S21" s="3">
        <v>26</v>
      </c>
      <c r="T21" s="3">
        <v>26.1</v>
      </c>
      <c r="U21" s="3">
        <v>26.2</v>
      </c>
      <c r="V21" s="3">
        <v>26.3</v>
      </c>
      <c r="W21" s="3">
        <v>26.4</v>
      </c>
      <c r="X21" s="3">
        <v>26.5</v>
      </c>
      <c r="Y21" s="3">
        <v>26.6</v>
      </c>
      <c r="Z21" s="3">
        <v>26.6</v>
      </c>
      <c r="AA21" s="3">
        <v>26.5</v>
      </c>
      <c r="AB21" s="3">
        <v>26.4</v>
      </c>
      <c r="AC21" s="3">
        <v>26.3</v>
      </c>
      <c r="AD21" s="3">
        <v>26.2</v>
      </c>
      <c r="AE21" s="3">
        <v>26.1</v>
      </c>
      <c r="AF21" s="3">
        <v>26</v>
      </c>
      <c r="AG21" s="3">
        <v>25.9</v>
      </c>
      <c r="AH21" s="3">
        <v>25.8</v>
      </c>
      <c r="AI21" s="3">
        <v>25.7</v>
      </c>
      <c r="AJ21" s="3">
        <v>25.6</v>
      </c>
      <c r="AK21" s="3">
        <v>25.5</v>
      </c>
      <c r="AL21" s="3">
        <v>25.4</v>
      </c>
      <c r="AM21" s="3">
        <v>25.3</v>
      </c>
      <c r="AN21" s="3">
        <v>25.2</v>
      </c>
      <c r="AO21" s="3">
        <v>25.1</v>
      </c>
      <c r="AP21" s="3">
        <v>25</v>
      </c>
      <c r="AQ21" s="3">
        <v>0.5</v>
      </c>
      <c r="AR21" s="3">
        <v>0.51</v>
      </c>
      <c r="AS21" s="3">
        <v>0.52</v>
      </c>
      <c r="AT21" s="3">
        <v>0.53</v>
      </c>
      <c r="AU21" s="3">
        <v>0.54</v>
      </c>
      <c r="AV21" s="3">
        <v>0.55000000000000004</v>
      </c>
      <c r="AW21" s="3">
        <v>0.56000000000000005</v>
      </c>
      <c r="AX21" s="3">
        <v>0.56999999999999995</v>
      </c>
      <c r="AY21" s="3">
        <v>0.57999999999999996</v>
      </c>
      <c r="AZ21" s="3">
        <v>0.59</v>
      </c>
      <c r="BA21" s="3">
        <v>0.6</v>
      </c>
      <c r="BB21" s="3">
        <v>0.61</v>
      </c>
      <c r="BC21" s="3">
        <v>0.62</v>
      </c>
      <c r="BD21" s="3">
        <v>0.63</v>
      </c>
      <c r="BE21" s="3">
        <v>0.64</v>
      </c>
      <c r="BF21" s="3">
        <v>0.65</v>
      </c>
      <c r="BG21" s="3">
        <v>0.66</v>
      </c>
      <c r="BH21" s="3">
        <v>0.01</v>
      </c>
      <c r="BI21" s="3">
        <v>0.02</v>
      </c>
      <c r="BJ21" s="3">
        <v>0.03</v>
      </c>
      <c r="BK21" s="3">
        <v>0.04</v>
      </c>
      <c r="BL21" s="3">
        <v>0.05</v>
      </c>
      <c r="BM21" s="3">
        <v>0.06</v>
      </c>
      <c r="BN21" s="3">
        <v>7.0000000000000007E-2</v>
      </c>
      <c r="BO21" s="3">
        <v>0.08</v>
      </c>
      <c r="BP21" s="3">
        <v>0.09</v>
      </c>
      <c r="BQ21" s="3">
        <v>0.1</v>
      </c>
      <c r="BR21" s="3">
        <v>0.11</v>
      </c>
      <c r="BS21" s="3">
        <v>0.12</v>
      </c>
      <c r="BT21" s="3">
        <v>0.13</v>
      </c>
      <c r="BU21" s="3">
        <v>0.14000000000000001</v>
      </c>
      <c r="BV21" s="3">
        <v>0.15</v>
      </c>
      <c r="BW21" s="3">
        <v>0.16</v>
      </c>
      <c r="BX21" s="3">
        <v>0.17</v>
      </c>
      <c r="BY21">
        <v>1</v>
      </c>
      <c r="BZ21">
        <v>2</v>
      </c>
      <c r="CA21">
        <v>3</v>
      </c>
      <c r="CB21">
        <v>4</v>
      </c>
      <c r="CC21">
        <v>5</v>
      </c>
      <c r="CD21">
        <v>6</v>
      </c>
      <c r="CE21">
        <v>7</v>
      </c>
      <c r="CF21">
        <v>8</v>
      </c>
      <c r="CG21">
        <v>9</v>
      </c>
      <c r="CH21">
        <v>10</v>
      </c>
      <c r="CI21">
        <v>11</v>
      </c>
      <c r="CJ21">
        <v>12</v>
      </c>
      <c r="CK21">
        <v>13</v>
      </c>
      <c r="CL21">
        <v>14</v>
      </c>
      <c r="CM21">
        <v>15</v>
      </c>
      <c r="CN21">
        <v>16</v>
      </c>
      <c r="CO21">
        <v>17</v>
      </c>
    </row>
    <row r="22" spans="1:93">
      <c r="A22" t="s">
        <v>23</v>
      </c>
      <c r="B22" s="3">
        <v>18</v>
      </c>
      <c r="C22" s="3">
        <v>19</v>
      </c>
      <c r="D22" t="s">
        <v>94</v>
      </c>
      <c r="E22" s="3">
        <v>1.3</v>
      </c>
      <c r="F22" t="s">
        <v>98</v>
      </c>
      <c r="G22" t="str">
        <f>'Simulation Information'!$C$27</f>
        <v>Summer casual</v>
      </c>
      <c r="H22" t="b">
        <v>0</v>
      </c>
      <c r="I22" s="3">
        <v>25</v>
      </c>
      <c r="J22" s="3">
        <v>25.1</v>
      </c>
      <c r="K22" s="3">
        <v>25.2</v>
      </c>
      <c r="L22" s="3">
        <v>25.3</v>
      </c>
      <c r="M22" s="3">
        <v>25.4</v>
      </c>
      <c r="N22" s="3">
        <v>25.5</v>
      </c>
      <c r="O22" s="3">
        <v>25.6</v>
      </c>
      <c r="P22" s="3">
        <v>25.7</v>
      </c>
      <c r="Q22" s="3">
        <v>25.8</v>
      </c>
      <c r="R22" s="3">
        <v>25.9</v>
      </c>
      <c r="S22" s="3">
        <v>26</v>
      </c>
      <c r="T22" s="3">
        <v>26.1</v>
      </c>
      <c r="U22" s="3">
        <v>26.2</v>
      </c>
      <c r="V22" s="3">
        <v>26.3</v>
      </c>
      <c r="W22" s="3">
        <v>26.4</v>
      </c>
      <c r="X22" s="3">
        <v>26.5</v>
      </c>
      <c r="Y22" s="3">
        <v>26.6</v>
      </c>
      <c r="Z22" s="3">
        <v>26.6</v>
      </c>
      <c r="AA22" s="3">
        <v>26.5</v>
      </c>
      <c r="AB22" s="3">
        <v>26.4</v>
      </c>
      <c r="AC22" s="3">
        <v>26.3</v>
      </c>
      <c r="AD22" s="3">
        <v>26.2</v>
      </c>
      <c r="AE22" s="3">
        <v>26.1</v>
      </c>
      <c r="AF22" s="3">
        <v>26</v>
      </c>
      <c r="AG22" s="3">
        <v>25.9</v>
      </c>
      <c r="AH22" s="3">
        <v>25.8</v>
      </c>
      <c r="AI22" s="3">
        <v>25.7</v>
      </c>
      <c r="AJ22" s="3">
        <v>25.6</v>
      </c>
      <c r="AK22" s="3">
        <v>25.5</v>
      </c>
      <c r="AL22" s="3">
        <v>25.4</v>
      </c>
      <c r="AM22" s="3">
        <v>25.3</v>
      </c>
      <c r="AN22" s="3">
        <v>25.2</v>
      </c>
      <c r="AO22" s="3">
        <v>25.1</v>
      </c>
      <c r="AP22" s="3">
        <v>25</v>
      </c>
      <c r="AQ22" s="3">
        <v>0.5</v>
      </c>
      <c r="AR22" s="3">
        <v>0.51</v>
      </c>
      <c r="AS22" s="3">
        <v>0.52</v>
      </c>
      <c r="AT22" s="3">
        <v>0.53</v>
      </c>
      <c r="AU22" s="3">
        <v>0.54</v>
      </c>
      <c r="AV22" s="3">
        <v>0.55000000000000004</v>
      </c>
      <c r="AW22" s="3">
        <v>0.56000000000000005</v>
      </c>
      <c r="AX22" s="3">
        <v>0.56999999999999995</v>
      </c>
      <c r="AY22" s="3">
        <v>0.57999999999999996</v>
      </c>
      <c r="AZ22" s="3">
        <v>0.59</v>
      </c>
      <c r="BA22" s="3">
        <v>0.6</v>
      </c>
      <c r="BB22" s="3">
        <v>0.61</v>
      </c>
      <c r="BC22" s="3">
        <v>0.62</v>
      </c>
      <c r="BD22" s="3">
        <v>0.63</v>
      </c>
      <c r="BE22" s="3">
        <v>0.64</v>
      </c>
      <c r="BF22" s="3">
        <v>0.65</v>
      </c>
      <c r="BG22" s="3">
        <v>0.66</v>
      </c>
      <c r="BH22" s="3">
        <v>0.01</v>
      </c>
      <c r="BI22" s="3">
        <v>0.02</v>
      </c>
      <c r="BJ22" s="3">
        <v>0.03</v>
      </c>
      <c r="BK22" s="3">
        <v>0.04</v>
      </c>
      <c r="BL22" s="3">
        <v>0.05</v>
      </c>
      <c r="BM22" s="3">
        <v>0.06</v>
      </c>
      <c r="BN22" s="3">
        <v>7.0000000000000007E-2</v>
      </c>
      <c r="BO22" s="3">
        <v>0.08</v>
      </c>
      <c r="BP22" s="3">
        <v>0.09</v>
      </c>
      <c r="BQ22" s="3">
        <v>0.1</v>
      </c>
      <c r="BR22" s="3">
        <v>0.11</v>
      </c>
      <c r="BS22" s="3">
        <v>0.12</v>
      </c>
      <c r="BT22" s="3">
        <v>0.13</v>
      </c>
      <c r="BU22" s="3">
        <v>0.14000000000000001</v>
      </c>
      <c r="BV22" s="3">
        <v>0.15</v>
      </c>
      <c r="BW22" s="3">
        <v>0.16</v>
      </c>
      <c r="BX22" s="3">
        <v>0.17</v>
      </c>
      <c r="BY22">
        <v>1</v>
      </c>
      <c r="BZ22">
        <v>2</v>
      </c>
      <c r="CA22">
        <v>3</v>
      </c>
      <c r="CB22">
        <v>4</v>
      </c>
      <c r="CC22">
        <v>5</v>
      </c>
      <c r="CD22">
        <v>6</v>
      </c>
      <c r="CE22">
        <v>7</v>
      </c>
      <c r="CF22">
        <v>8</v>
      </c>
      <c r="CG22">
        <v>9</v>
      </c>
      <c r="CH22">
        <v>10</v>
      </c>
      <c r="CI22">
        <v>11</v>
      </c>
      <c r="CJ22">
        <v>12</v>
      </c>
      <c r="CK22">
        <v>13</v>
      </c>
      <c r="CL22">
        <v>14</v>
      </c>
      <c r="CM22">
        <v>15</v>
      </c>
      <c r="CN22">
        <v>16</v>
      </c>
      <c r="CO22">
        <v>17</v>
      </c>
    </row>
    <row r="23" spans="1:93">
      <c r="A23" t="s">
        <v>23</v>
      </c>
      <c r="B23" s="3">
        <v>19</v>
      </c>
      <c r="C23" s="3">
        <v>20</v>
      </c>
      <c r="D23" t="s">
        <v>94</v>
      </c>
      <c r="E23" s="3">
        <v>1.3</v>
      </c>
      <c r="F23" t="s">
        <v>98</v>
      </c>
      <c r="G23" t="str">
        <f>'Simulation Information'!$C$27</f>
        <v>Summer casual</v>
      </c>
      <c r="H23" t="b">
        <v>0</v>
      </c>
      <c r="I23" s="3">
        <v>25</v>
      </c>
      <c r="J23" s="3">
        <v>25.1</v>
      </c>
      <c r="K23" s="3">
        <v>25.2</v>
      </c>
      <c r="L23" s="3">
        <v>25.3</v>
      </c>
      <c r="M23" s="3">
        <v>25.4</v>
      </c>
      <c r="N23" s="3">
        <v>25.5</v>
      </c>
      <c r="O23" s="3">
        <v>25.6</v>
      </c>
      <c r="P23" s="3">
        <v>25.7</v>
      </c>
      <c r="Q23" s="3">
        <v>25.8</v>
      </c>
      <c r="R23" s="3">
        <v>25.9</v>
      </c>
      <c r="S23" s="3">
        <v>26</v>
      </c>
      <c r="T23" s="3">
        <v>26.1</v>
      </c>
      <c r="U23" s="3">
        <v>26.2</v>
      </c>
      <c r="V23" s="3">
        <v>26.3</v>
      </c>
      <c r="W23" s="3">
        <v>26.4</v>
      </c>
      <c r="X23" s="3">
        <v>26.5</v>
      </c>
      <c r="Y23" s="3">
        <v>26.6</v>
      </c>
      <c r="Z23" s="3">
        <v>26.6</v>
      </c>
      <c r="AA23" s="3">
        <v>26.5</v>
      </c>
      <c r="AB23" s="3">
        <v>26.4</v>
      </c>
      <c r="AC23" s="3">
        <v>26.3</v>
      </c>
      <c r="AD23" s="3">
        <v>26.2</v>
      </c>
      <c r="AE23" s="3">
        <v>26.1</v>
      </c>
      <c r="AF23" s="3">
        <v>26</v>
      </c>
      <c r="AG23" s="3">
        <v>25.9</v>
      </c>
      <c r="AH23" s="3">
        <v>25.8</v>
      </c>
      <c r="AI23" s="3">
        <v>25.7</v>
      </c>
      <c r="AJ23" s="3">
        <v>25.6</v>
      </c>
      <c r="AK23" s="3">
        <v>25.5</v>
      </c>
      <c r="AL23" s="3">
        <v>25.4</v>
      </c>
      <c r="AM23" s="3">
        <v>25.3</v>
      </c>
      <c r="AN23" s="3">
        <v>25.2</v>
      </c>
      <c r="AO23" s="3">
        <v>25.1</v>
      </c>
      <c r="AP23" s="3">
        <v>25</v>
      </c>
      <c r="AQ23" s="3">
        <v>0.5</v>
      </c>
      <c r="AR23" s="3">
        <v>0.51</v>
      </c>
      <c r="AS23" s="3">
        <v>0.52</v>
      </c>
      <c r="AT23" s="3">
        <v>0.53</v>
      </c>
      <c r="AU23" s="3">
        <v>0.54</v>
      </c>
      <c r="AV23" s="3">
        <v>0.55000000000000004</v>
      </c>
      <c r="AW23" s="3">
        <v>0.56000000000000005</v>
      </c>
      <c r="AX23" s="3">
        <v>0.56999999999999995</v>
      </c>
      <c r="AY23" s="3">
        <v>0.57999999999999996</v>
      </c>
      <c r="AZ23" s="3">
        <v>0.59</v>
      </c>
      <c r="BA23" s="3">
        <v>0.6</v>
      </c>
      <c r="BB23" s="3">
        <v>0.61</v>
      </c>
      <c r="BC23" s="3">
        <v>0.62</v>
      </c>
      <c r="BD23" s="3">
        <v>0.63</v>
      </c>
      <c r="BE23" s="3">
        <v>0.64</v>
      </c>
      <c r="BF23" s="3">
        <v>0.65</v>
      </c>
      <c r="BG23" s="3">
        <v>0.66</v>
      </c>
      <c r="BH23" s="3">
        <v>0.01</v>
      </c>
      <c r="BI23" s="3">
        <v>0.02</v>
      </c>
      <c r="BJ23" s="3">
        <v>0.03</v>
      </c>
      <c r="BK23" s="3">
        <v>0.04</v>
      </c>
      <c r="BL23" s="3">
        <v>0.05</v>
      </c>
      <c r="BM23" s="3">
        <v>0.06</v>
      </c>
      <c r="BN23" s="3">
        <v>7.0000000000000007E-2</v>
      </c>
      <c r="BO23" s="3">
        <v>0.08</v>
      </c>
      <c r="BP23" s="3">
        <v>0.09</v>
      </c>
      <c r="BQ23" s="3">
        <v>0.1</v>
      </c>
      <c r="BR23" s="3">
        <v>0.11</v>
      </c>
      <c r="BS23" s="3">
        <v>0.12</v>
      </c>
      <c r="BT23" s="3">
        <v>0.13</v>
      </c>
      <c r="BU23" s="3">
        <v>0.14000000000000001</v>
      </c>
      <c r="BV23" s="3">
        <v>0.15</v>
      </c>
      <c r="BW23" s="3">
        <v>0.16</v>
      </c>
      <c r="BX23" s="3">
        <v>0.17</v>
      </c>
      <c r="BY23">
        <v>1</v>
      </c>
      <c r="BZ23">
        <v>2</v>
      </c>
      <c r="CA23">
        <v>3</v>
      </c>
      <c r="CB23">
        <v>4</v>
      </c>
      <c r="CC23">
        <v>5</v>
      </c>
      <c r="CD23">
        <v>6</v>
      </c>
      <c r="CE23">
        <v>7</v>
      </c>
      <c r="CF23">
        <v>8</v>
      </c>
      <c r="CG23">
        <v>9</v>
      </c>
      <c r="CH23">
        <v>10</v>
      </c>
      <c r="CI23">
        <v>11</v>
      </c>
      <c r="CJ23">
        <v>12</v>
      </c>
      <c r="CK23">
        <v>13</v>
      </c>
      <c r="CL23">
        <v>14</v>
      </c>
      <c r="CM23">
        <v>15</v>
      </c>
      <c r="CN23">
        <v>16</v>
      </c>
      <c r="CO23">
        <v>17</v>
      </c>
    </row>
    <row r="24" spans="1:93">
      <c r="A24" t="s">
        <v>36</v>
      </c>
      <c r="B24" s="3">
        <v>20</v>
      </c>
      <c r="C24" s="3">
        <v>21</v>
      </c>
      <c r="D24" t="s">
        <v>94</v>
      </c>
      <c r="E24" s="3">
        <v>1.3</v>
      </c>
      <c r="F24" t="s">
        <v>98</v>
      </c>
      <c r="G24" t="str">
        <f>'Simulation Information'!$C$27</f>
        <v>Summer casual</v>
      </c>
      <c r="H24" t="b">
        <v>0</v>
      </c>
      <c r="I24" s="3">
        <v>25</v>
      </c>
      <c r="J24" s="3">
        <v>25.1</v>
      </c>
      <c r="K24" s="3">
        <v>25.2</v>
      </c>
      <c r="L24" s="3">
        <v>25.3</v>
      </c>
      <c r="M24" s="3">
        <v>25.4</v>
      </c>
      <c r="N24" s="3">
        <v>25.5</v>
      </c>
      <c r="O24" s="3">
        <v>25.6</v>
      </c>
      <c r="P24" s="3">
        <v>25.7</v>
      </c>
      <c r="Q24" s="3">
        <v>25.8</v>
      </c>
      <c r="R24" s="3">
        <v>25.9</v>
      </c>
      <c r="S24" s="3">
        <v>26</v>
      </c>
      <c r="T24" s="3">
        <v>26.1</v>
      </c>
      <c r="U24" s="3">
        <v>26.2</v>
      </c>
      <c r="V24" s="3">
        <v>26.3</v>
      </c>
      <c r="W24" s="3">
        <v>26.4</v>
      </c>
      <c r="X24" s="3">
        <v>26.5</v>
      </c>
      <c r="Y24" s="3">
        <v>26.6</v>
      </c>
      <c r="Z24" s="3">
        <v>26.6</v>
      </c>
      <c r="AA24" s="3">
        <v>26.5</v>
      </c>
      <c r="AB24" s="3">
        <v>26.4</v>
      </c>
      <c r="AC24" s="3">
        <v>26.3</v>
      </c>
      <c r="AD24" s="3">
        <v>26.2</v>
      </c>
      <c r="AE24" s="3">
        <v>26.1</v>
      </c>
      <c r="AF24" s="3">
        <v>26</v>
      </c>
      <c r="AG24" s="3">
        <v>25.9</v>
      </c>
      <c r="AH24" s="3">
        <v>25.8</v>
      </c>
      <c r="AI24" s="3">
        <v>25.7</v>
      </c>
      <c r="AJ24" s="3">
        <v>25.6</v>
      </c>
      <c r="AK24" s="3">
        <v>25.5</v>
      </c>
      <c r="AL24" s="3">
        <v>25.4</v>
      </c>
      <c r="AM24" s="3">
        <v>25.3</v>
      </c>
      <c r="AN24" s="3">
        <v>25.2</v>
      </c>
      <c r="AO24" s="3">
        <v>25.1</v>
      </c>
      <c r="AP24" s="3">
        <v>25</v>
      </c>
      <c r="AQ24" s="3">
        <v>0.5</v>
      </c>
      <c r="AR24" s="3">
        <v>0.51</v>
      </c>
      <c r="AS24" s="3">
        <v>0.52</v>
      </c>
      <c r="AT24" s="3">
        <v>0.53</v>
      </c>
      <c r="AU24" s="3">
        <v>0.54</v>
      </c>
      <c r="AV24" s="3">
        <v>0.55000000000000004</v>
      </c>
      <c r="AW24" s="3">
        <v>0.56000000000000005</v>
      </c>
      <c r="AX24" s="3">
        <v>0.56999999999999995</v>
      </c>
      <c r="AY24" s="3">
        <v>0.57999999999999996</v>
      </c>
      <c r="AZ24" s="3">
        <v>0.59</v>
      </c>
      <c r="BA24" s="3">
        <v>0.6</v>
      </c>
      <c r="BB24" s="3">
        <v>0.61</v>
      </c>
      <c r="BC24" s="3">
        <v>0.62</v>
      </c>
      <c r="BD24" s="3">
        <v>0.63</v>
      </c>
      <c r="BE24" s="3">
        <v>0.64</v>
      </c>
      <c r="BF24" s="3">
        <v>0.65</v>
      </c>
      <c r="BG24" s="3">
        <v>0.66</v>
      </c>
      <c r="BH24" s="3">
        <v>0.01</v>
      </c>
      <c r="BI24" s="3">
        <v>0.02</v>
      </c>
      <c r="BJ24" s="3">
        <v>0.03</v>
      </c>
      <c r="BK24" s="3">
        <v>0.04</v>
      </c>
      <c r="BL24" s="3">
        <v>0.05</v>
      </c>
      <c r="BM24" s="3">
        <v>0.06</v>
      </c>
      <c r="BN24" s="3">
        <v>7.0000000000000007E-2</v>
      </c>
      <c r="BO24" s="3">
        <v>0.08</v>
      </c>
      <c r="BP24" s="3">
        <v>0.09</v>
      </c>
      <c r="BQ24" s="3">
        <v>0.1</v>
      </c>
      <c r="BR24" s="3">
        <v>0.11</v>
      </c>
      <c r="BS24" s="3">
        <v>0.12</v>
      </c>
      <c r="BT24" s="3">
        <v>0.13</v>
      </c>
      <c r="BU24" s="3">
        <v>0.14000000000000001</v>
      </c>
      <c r="BV24" s="3">
        <v>0.15</v>
      </c>
      <c r="BW24" s="3">
        <v>0.16</v>
      </c>
      <c r="BX24" s="3">
        <v>0.17</v>
      </c>
      <c r="BY24">
        <v>1</v>
      </c>
      <c r="BZ24">
        <v>2</v>
      </c>
      <c r="CA24">
        <v>3</v>
      </c>
      <c r="CB24">
        <v>4</v>
      </c>
      <c r="CC24">
        <v>5</v>
      </c>
      <c r="CD24">
        <v>6</v>
      </c>
      <c r="CE24">
        <v>7</v>
      </c>
      <c r="CF24">
        <v>8</v>
      </c>
      <c r="CG24">
        <v>9</v>
      </c>
      <c r="CH24">
        <v>10</v>
      </c>
      <c r="CI24">
        <v>11</v>
      </c>
      <c r="CJ24">
        <v>12</v>
      </c>
      <c r="CK24">
        <v>13</v>
      </c>
      <c r="CL24">
        <v>14</v>
      </c>
      <c r="CM24">
        <v>15</v>
      </c>
      <c r="CN24">
        <v>16</v>
      </c>
      <c r="CO24">
        <v>17</v>
      </c>
    </row>
    <row r="25" spans="1:93">
      <c r="A25" t="s">
        <v>36</v>
      </c>
      <c r="B25" s="3">
        <v>21</v>
      </c>
      <c r="C25" s="3">
        <v>22</v>
      </c>
      <c r="D25" t="s">
        <v>94</v>
      </c>
      <c r="E25" s="3">
        <v>1.3</v>
      </c>
      <c r="F25" t="s">
        <v>98</v>
      </c>
      <c r="G25" t="str">
        <f>'Simulation Information'!$C$27</f>
        <v>Summer casual</v>
      </c>
      <c r="H25" t="b">
        <v>0</v>
      </c>
      <c r="I25" s="3">
        <v>25</v>
      </c>
      <c r="J25" s="3">
        <v>25.1</v>
      </c>
      <c r="K25" s="3">
        <v>25.2</v>
      </c>
      <c r="L25" s="3">
        <v>25.3</v>
      </c>
      <c r="M25" s="3">
        <v>25.4</v>
      </c>
      <c r="N25" s="3">
        <v>25.5</v>
      </c>
      <c r="O25" s="3">
        <v>25.6</v>
      </c>
      <c r="P25" s="3">
        <v>25.7</v>
      </c>
      <c r="Q25" s="3">
        <v>25.8</v>
      </c>
      <c r="R25" s="3">
        <v>25.9</v>
      </c>
      <c r="S25" s="3">
        <v>26</v>
      </c>
      <c r="T25" s="3">
        <v>26.1</v>
      </c>
      <c r="U25" s="3">
        <v>26.2</v>
      </c>
      <c r="V25" s="3">
        <v>26.3</v>
      </c>
      <c r="W25" s="3">
        <v>26.4</v>
      </c>
      <c r="X25" s="3">
        <v>26.5</v>
      </c>
      <c r="Y25" s="3">
        <v>26.6</v>
      </c>
      <c r="Z25" s="3">
        <v>26.6</v>
      </c>
      <c r="AA25" s="3">
        <v>26.5</v>
      </c>
      <c r="AB25" s="3">
        <v>26.4</v>
      </c>
      <c r="AC25" s="3">
        <v>26.3</v>
      </c>
      <c r="AD25" s="3">
        <v>26.2</v>
      </c>
      <c r="AE25" s="3">
        <v>26.1</v>
      </c>
      <c r="AF25" s="3">
        <v>26</v>
      </c>
      <c r="AG25" s="3">
        <v>25.9</v>
      </c>
      <c r="AH25" s="3">
        <v>25.8</v>
      </c>
      <c r="AI25" s="3">
        <v>25.7</v>
      </c>
      <c r="AJ25" s="3">
        <v>25.6</v>
      </c>
      <c r="AK25" s="3">
        <v>25.5</v>
      </c>
      <c r="AL25" s="3">
        <v>25.4</v>
      </c>
      <c r="AM25" s="3">
        <v>25.3</v>
      </c>
      <c r="AN25" s="3">
        <v>25.2</v>
      </c>
      <c r="AO25" s="3">
        <v>25.1</v>
      </c>
      <c r="AP25" s="3">
        <v>25</v>
      </c>
      <c r="AQ25" s="3">
        <v>0.5</v>
      </c>
      <c r="AR25" s="3">
        <v>0.51</v>
      </c>
      <c r="AS25" s="3">
        <v>0.52</v>
      </c>
      <c r="AT25" s="3">
        <v>0.53</v>
      </c>
      <c r="AU25" s="3">
        <v>0.54</v>
      </c>
      <c r="AV25" s="3">
        <v>0.55000000000000004</v>
      </c>
      <c r="AW25" s="3">
        <v>0.56000000000000005</v>
      </c>
      <c r="AX25" s="3">
        <v>0.56999999999999995</v>
      </c>
      <c r="AY25" s="3">
        <v>0.57999999999999996</v>
      </c>
      <c r="AZ25" s="3">
        <v>0.59</v>
      </c>
      <c r="BA25" s="3">
        <v>0.6</v>
      </c>
      <c r="BB25" s="3">
        <v>0.61</v>
      </c>
      <c r="BC25" s="3">
        <v>0.62</v>
      </c>
      <c r="BD25" s="3">
        <v>0.63</v>
      </c>
      <c r="BE25" s="3">
        <v>0.64</v>
      </c>
      <c r="BF25" s="3">
        <v>0.65</v>
      </c>
      <c r="BG25" s="3">
        <v>0.66</v>
      </c>
      <c r="BH25" s="3">
        <v>0.01</v>
      </c>
      <c r="BI25" s="3">
        <v>0.02</v>
      </c>
      <c r="BJ25" s="3">
        <v>0.03</v>
      </c>
      <c r="BK25" s="3">
        <v>0.04</v>
      </c>
      <c r="BL25" s="3">
        <v>0.05</v>
      </c>
      <c r="BM25" s="3">
        <v>0.06</v>
      </c>
      <c r="BN25" s="3">
        <v>7.0000000000000007E-2</v>
      </c>
      <c r="BO25" s="3">
        <v>0.08</v>
      </c>
      <c r="BP25" s="3">
        <v>0.09</v>
      </c>
      <c r="BQ25" s="3">
        <v>0.1</v>
      </c>
      <c r="BR25" s="3">
        <v>0.11</v>
      </c>
      <c r="BS25" s="3">
        <v>0.12</v>
      </c>
      <c r="BT25" s="3">
        <v>0.13</v>
      </c>
      <c r="BU25" s="3">
        <v>0.14000000000000001</v>
      </c>
      <c r="BV25" s="3">
        <v>0.15</v>
      </c>
      <c r="BW25" s="3">
        <v>0.16</v>
      </c>
      <c r="BX25" s="3">
        <v>0.17</v>
      </c>
      <c r="BY25">
        <v>1</v>
      </c>
      <c r="BZ25">
        <v>2</v>
      </c>
      <c r="CA25">
        <v>3</v>
      </c>
      <c r="CB25">
        <v>4</v>
      </c>
      <c r="CC25">
        <v>5</v>
      </c>
      <c r="CD25">
        <v>6</v>
      </c>
      <c r="CE25">
        <v>7</v>
      </c>
      <c r="CF25">
        <v>8</v>
      </c>
      <c r="CG25">
        <v>9</v>
      </c>
      <c r="CH25">
        <v>10</v>
      </c>
      <c r="CI25">
        <v>11</v>
      </c>
      <c r="CJ25">
        <v>12</v>
      </c>
      <c r="CK25">
        <v>13</v>
      </c>
      <c r="CL25">
        <v>14</v>
      </c>
      <c r="CM25">
        <v>15</v>
      </c>
      <c r="CN25">
        <v>16</v>
      </c>
      <c r="CO25">
        <v>17</v>
      </c>
    </row>
    <row r="26" spans="1:93">
      <c r="A26" t="s">
        <v>36</v>
      </c>
      <c r="B26" s="3">
        <v>22</v>
      </c>
      <c r="C26" s="3">
        <v>23</v>
      </c>
      <c r="D26" t="s">
        <v>94</v>
      </c>
      <c r="E26" s="3">
        <v>1.3</v>
      </c>
      <c r="F26" t="s">
        <v>98</v>
      </c>
      <c r="G26" t="str">
        <f>'Simulation Information'!$C$27</f>
        <v>Summer casual</v>
      </c>
      <c r="H26" t="b">
        <v>0</v>
      </c>
      <c r="I26" s="3">
        <v>25</v>
      </c>
      <c r="J26" s="3">
        <v>25.1</v>
      </c>
      <c r="K26" s="3">
        <v>25.2</v>
      </c>
      <c r="L26" s="3">
        <v>25.3</v>
      </c>
      <c r="M26" s="3">
        <v>25.4</v>
      </c>
      <c r="N26" s="3">
        <v>25.5</v>
      </c>
      <c r="O26" s="3">
        <v>25.6</v>
      </c>
      <c r="P26" s="3">
        <v>25.7</v>
      </c>
      <c r="Q26" s="3">
        <v>25.8</v>
      </c>
      <c r="R26" s="3">
        <v>25.9</v>
      </c>
      <c r="S26" s="3">
        <v>26</v>
      </c>
      <c r="T26" s="3">
        <v>26.1</v>
      </c>
      <c r="U26" s="3">
        <v>26.2</v>
      </c>
      <c r="V26" s="3">
        <v>26.3</v>
      </c>
      <c r="W26" s="3">
        <v>26.4</v>
      </c>
      <c r="X26" s="3">
        <v>26.5</v>
      </c>
      <c r="Y26" s="3">
        <v>26.6</v>
      </c>
      <c r="Z26" s="3">
        <v>26.6</v>
      </c>
      <c r="AA26" s="3">
        <v>26.5</v>
      </c>
      <c r="AB26" s="3">
        <v>26.4</v>
      </c>
      <c r="AC26" s="3">
        <v>26.3</v>
      </c>
      <c r="AD26" s="3">
        <v>26.2</v>
      </c>
      <c r="AE26" s="3">
        <v>26.1</v>
      </c>
      <c r="AF26" s="3">
        <v>26</v>
      </c>
      <c r="AG26" s="3">
        <v>25.9</v>
      </c>
      <c r="AH26" s="3">
        <v>25.8</v>
      </c>
      <c r="AI26" s="3">
        <v>25.7</v>
      </c>
      <c r="AJ26" s="3">
        <v>25.6</v>
      </c>
      <c r="AK26" s="3">
        <v>25.5</v>
      </c>
      <c r="AL26" s="3">
        <v>25.4</v>
      </c>
      <c r="AM26" s="3">
        <v>25.3</v>
      </c>
      <c r="AN26" s="3">
        <v>25.2</v>
      </c>
      <c r="AO26" s="3">
        <v>25.1</v>
      </c>
      <c r="AP26" s="3">
        <v>25</v>
      </c>
      <c r="AQ26" s="3">
        <v>0.5</v>
      </c>
      <c r="AR26" s="3">
        <v>0.51</v>
      </c>
      <c r="AS26" s="3">
        <v>0.52</v>
      </c>
      <c r="AT26" s="3">
        <v>0.53</v>
      </c>
      <c r="AU26" s="3">
        <v>0.54</v>
      </c>
      <c r="AV26" s="3">
        <v>0.55000000000000004</v>
      </c>
      <c r="AW26" s="3">
        <v>0.56000000000000005</v>
      </c>
      <c r="AX26" s="3">
        <v>0.56999999999999995</v>
      </c>
      <c r="AY26" s="3">
        <v>0.57999999999999996</v>
      </c>
      <c r="AZ26" s="3">
        <v>0.59</v>
      </c>
      <c r="BA26" s="3">
        <v>0.6</v>
      </c>
      <c r="BB26" s="3">
        <v>0.61</v>
      </c>
      <c r="BC26" s="3">
        <v>0.62</v>
      </c>
      <c r="BD26" s="3">
        <v>0.63</v>
      </c>
      <c r="BE26" s="3">
        <v>0.64</v>
      </c>
      <c r="BF26" s="3">
        <v>0.65</v>
      </c>
      <c r="BG26" s="3">
        <v>0.66</v>
      </c>
      <c r="BH26" s="3">
        <v>0.01</v>
      </c>
      <c r="BI26" s="3">
        <v>0.02</v>
      </c>
      <c r="BJ26" s="3">
        <v>0.03</v>
      </c>
      <c r="BK26" s="3">
        <v>0.04</v>
      </c>
      <c r="BL26" s="3">
        <v>0.05</v>
      </c>
      <c r="BM26" s="3">
        <v>0.06</v>
      </c>
      <c r="BN26" s="3">
        <v>7.0000000000000007E-2</v>
      </c>
      <c r="BO26" s="3">
        <v>0.08</v>
      </c>
      <c r="BP26" s="3">
        <v>0.09</v>
      </c>
      <c r="BQ26" s="3">
        <v>0.1</v>
      </c>
      <c r="BR26" s="3">
        <v>0.11</v>
      </c>
      <c r="BS26" s="3">
        <v>0.12</v>
      </c>
      <c r="BT26" s="3">
        <v>0.13</v>
      </c>
      <c r="BU26" s="3">
        <v>0.14000000000000001</v>
      </c>
      <c r="BV26" s="3">
        <v>0.15</v>
      </c>
      <c r="BW26" s="3">
        <v>0.16</v>
      </c>
      <c r="BX26" s="3">
        <v>0.17</v>
      </c>
      <c r="BY26">
        <v>1</v>
      </c>
      <c r="BZ26">
        <v>2</v>
      </c>
      <c r="CA26">
        <v>3</v>
      </c>
      <c r="CB26">
        <v>4</v>
      </c>
      <c r="CC26">
        <v>5</v>
      </c>
      <c r="CD26">
        <v>6</v>
      </c>
      <c r="CE26">
        <v>7</v>
      </c>
      <c r="CF26">
        <v>8</v>
      </c>
      <c r="CG26">
        <v>9</v>
      </c>
      <c r="CH26">
        <v>10</v>
      </c>
      <c r="CI26">
        <v>11</v>
      </c>
      <c r="CJ26">
        <v>12</v>
      </c>
      <c r="CK26">
        <v>13</v>
      </c>
      <c r="CL26">
        <v>14</v>
      </c>
      <c r="CM26">
        <v>15</v>
      </c>
      <c r="CN26">
        <v>16</v>
      </c>
      <c r="CO26">
        <v>17</v>
      </c>
    </row>
    <row r="27" spans="1:93">
      <c r="A27" t="s">
        <v>36</v>
      </c>
      <c r="B27" s="3">
        <v>23</v>
      </c>
      <c r="C27" s="3">
        <v>24</v>
      </c>
      <c r="D27" t="s">
        <v>94</v>
      </c>
      <c r="E27" s="3">
        <v>1.3</v>
      </c>
      <c r="F27" t="s">
        <v>98</v>
      </c>
      <c r="G27" t="str">
        <f>'Simulation Information'!$C$27</f>
        <v>Summer casual</v>
      </c>
      <c r="H27" t="b">
        <v>0</v>
      </c>
      <c r="I27" s="3">
        <v>25</v>
      </c>
      <c r="J27" s="3">
        <v>25.1</v>
      </c>
      <c r="K27" s="3">
        <v>25.2</v>
      </c>
      <c r="L27" s="3">
        <v>25.3</v>
      </c>
      <c r="M27" s="3">
        <v>25.4</v>
      </c>
      <c r="N27" s="3">
        <v>25.5</v>
      </c>
      <c r="O27" s="3">
        <v>25.6</v>
      </c>
      <c r="P27" s="3">
        <v>25.7</v>
      </c>
      <c r="Q27" s="3">
        <v>25.8</v>
      </c>
      <c r="R27" s="3">
        <v>25.9</v>
      </c>
      <c r="S27" s="3">
        <v>26</v>
      </c>
      <c r="T27" s="3">
        <v>26.1</v>
      </c>
      <c r="U27" s="3">
        <v>26.2</v>
      </c>
      <c r="V27" s="3">
        <v>26.3</v>
      </c>
      <c r="W27" s="3">
        <v>26.4</v>
      </c>
      <c r="X27" s="3">
        <v>26.5</v>
      </c>
      <c r="Y27" s="3">
        <v>26.6</v>
      </c>
      <c r="Z27" s="3">
        <v>26.6</v>
      </c>
      <c r="AA27" s="3">
        <v>26.5</v>
      </c>
      <c r="AB27" s="3">
        <v>26.4</v>
      </c>
      <c r="AC27" s="3">
        <v>26.3</v>
      </c>
      <c r="AD27" s="3">
        <v>26.2</v>
      </c>
      <c r="AE27" s="3">
        <v>26.1</v>
      </c>
      <c r="AF27" s="3">
        <v>26</v>
      </c>
      <c r="AG27" s="3">
        <v>25.9</v>
      </c>
      <c r="AH27" s="3">
        <v>25.8</v>
      </c>
      <c r="AI27" s="3">
        <v>25.7</v>
      </c>
      <c r="AJ27" s="3">
        <v>25.6</v>
      </c>
      <c r="AK27" s="3">
        <v>25.5</v>
      </c>
      <c r="AL27" s="3">
        <v>25.4</v>
      </c>
      <c r="AM27" s="3">
        <v>25.3</v>
      </c>
      <c r="AN27" s="3">
        <v>25.2</v>
      </c>
      <c r="AO27" s="3">
        <v>25.1</v>
      </c>
      <c r="AP27" s="3">
        <v>25</v>
      </c>
      <c r="AQ27" s="3">
        <v>0.5</v>
      </c>
      <c r="AR27" s="3">
        <v>0.51</v>
      </c>
      <c r="AS27" s="3">
        <v>0.52</v>
      </c>
      <c r="AT27" s="3">
        <v>0.53</v>
      </c>
      <c r="AU27" s="3">
        <v>0.54</v>
      </c>
      <c r="AV27" s="3">
        <v>0.55000000000000004</v>
      </c>
      <c r="AW27" s="3">
        <v>0.56000000000000005</v>
      </c>
      <c r="AX27" s="3">
        <v>0.56999999999999995</v>
      </c>
      <c r="AY27" s="3">
        <v>0.57999999999999996</v>
      </c>
      <c r="AZ27" s="3">
        <v>0.59</v>
      </c>
      <c r="BA27" s="3">
        <v>0.6</v>
      </c>
      <c r="BB27" s="3">
        <v>0.61</v>
      </c>
      <c r="BC27" s="3">
        <v>0.62</v>
      </c>
      <c r="BD27" s="3">
        <v>0.63</v>
      </c>
      <c r="BE27" s="3">
        <v>0.64</v>
      </c>
      <c r="BF27" s="3">
        <v>0.65</v>
      </c>
      <c r="BG27" s="3">
        <v>0.66</v>
      </c>
      <c r="BH27" s="3">
        <v>0.01</v>
      </c>
      <c r="BI27" s="3">
        <v>0.02</v>
      </c>
      <c r="BJ27" s="3">
        <v>0.03</v>
      </c>
      <c r="BK27" s="3">
        <v>0.04</v>
      </c>
      <c r="BL27" s="3">
        <v>0.05</v>
      </c>
      <c r="BM27" s="3">
        <v>0.06</v>
      </c>
      <c r="BN27" s="3">
        <v>7.0000000000000007E-2</v>
      </c>
      <c r="BO27" s="3">
        <v>0.08</v>
      </c>
      <c r="BP27" s="3">
        <v>0.09</v>
      </c>
      <c r="BQ27" s="3">
        <v>0.1</v>
      </c>
      <c r="BR27" s="3">
        <v>0.11</v>
      </c>
      <c r="BS27" s="3">
        <v>0.12</v>
      </c>
      <c r="BT27" s="3">
        <v>0.13</v>
      </c>
      <c r="BU27" s="3">
        <v>0.14000000000000001</v>
      </c>
      <c r="BV27" s="3">
        <v>0.15</v>
      </c>
      <c r="BW27" s="3">
        <v>0.16</v>
      </c>
      <c r="BX27" s="3">
        <v>0.17</v>
      </c>
      <c r="BY27">
        <v>1</v>
      </c>
      <c r="BZ27">
        <v>2</v>
      </c>
      <c r="CA27">
        <v>3</v>
      </c>
      <c r="CB27">
        <v>4</v>
      </c>
      <c r="CC27">
        <v>5</v>
      </c>
      <c r="CD27">
        <v>6</v>
      </c>
      <c r="CE27">
        <v>7</v>
      </c>
      <c r="CF27">
        <v>8</v>
      </c>
      <c r="CG27">
        <v>9</v>
      </c>
      <c r="CH27">
        <v>10</v>
      </c>
      <c r="CI27">
        <v>11</v>
      </c>
      <c r="CJ27">
        <v>12</v>
      </c>
      <c r="CK27">
        <v>13</v>
      </c>
      <c r="CL27">
        <v>14</v>
      </c>
      <c r="CM27">
        <v>15</v>
      </c>
      <c r="CN27">
        <v>16</v>
      </c>
      <c r="CO27">
        <v>17</v>
      </c>
    </row>
    <row r="28" spans="1:93">
      <c r="A28" t="s">
        <v>36</v>
      </c>
      <c r="B28" s="3">
        <v>24</v>
      </c>
      <c r="C28" s="3">
        <v>25</v>
      </c>
      <c r="D28" t="s">
        <v>94</v>
      </c>
      <c r="E28" s="3">
        <v>1.3</v>
      </c>
      <c r="F28" t="s">
        <v>98</v>
      </c>
      <c r="G28" t="str">
        <f>'Simulation Information'!$C$27</f>
        <v>Summer casual</v>
      </c>
      <c r="H28" t="b">
        <v>0</v>
      </c>
      <c r="I28" s="3">
        <v>25</v>
      </c>
      <c r="J28" s="3">
        <v>25.1</v>
      </c>
      <c r="K28" s="3">
        <v>25.2</v>
      </c>
      <c r="L28" s="3">
        <v>25.3</v>
      </c>
      <c r="M28" s="3">
        <v>25.4</v>
      </c>
      <c r="N28" s="3">
        <v>25.5</v>
      </c>
      <c r="O28" s="3">
        <v>25.6</v>
      </c>
      <c r="P28" s="3">
        <v>25.7</v>
      </c>
      <c r="Q28" s="3">
        <v>25.8</v>
      </c>
      <c r="R28" s="3">
        <v>25.9</v>
      </c>
      <c r="S28" s="3">
        <v>26</v>
      </c>
      <c r="T28" s="3">
        <v>26.1</v>
      </c>
      <c r="U28" s="3">
        <v>26.2</v>
      </c>
      <c r="V28" s="3">
        <v>26.3</v>
      </c>
      <c r="W28" s="3">
        <v>26.4</v>
      </c>
      <c r="X28" s="3">
        <v>26.5</v>
      </c>
      <c r="Y28" s="3">
        <v>26.6</v>
      </c>
      <c r="Z28" s="3">
        <v>26.6</v>
      </c>
      <c r="AA28" s="3">
        <v>26.5</v>
      </c>
      <c r="AB28" s="3">
        <v>26.4</v>
      </c>
      <c r="AC28" s="3">
        <v>26.3</v>
      </c>
      <c r="AD28" s="3">
        <v>26.2</v>
      </c>
      <c r="AE28" s="3">
        <v>26.1</v>
      </c>
      <c r="AF28" s="3">
        <v>26</v>
      </c>
      <c r="AG28" s="3">
        <v>25.9</v>
      </c>
      <c r="AH28" s="3">
        <v>25.8</v>
      </c>
      <c r="AI28" s="3">
        <v>25.7</v>
      </c>
      <c r="AJ28" s="3">
        <v>25.6</v>
      </c>
      <c r="AK28" s="3">
        <v>25.5</v>
      </c>
      <c r="AL28" s="3">
        <v>25.4</v>
      </c>
      <c r="AM28" s="3">
        <v>25.3</v>
      </c>
      <c r="AN28" s="3">
        <v>25.2</v>
      </c>
      <c r="AO28" s="3">
        <v>25.1</v>
      </c>
      <c r="AP28" s="3">
        <v>25</v>
      </c>
      <c r="AQ28" s="3">
        <v>0.5</v>
      </c>
      <c r="AR28" s="3">
        <v>0.51</v>
      </c>
      <c r="AS28" s="3">
        <v>0.52</v>
      </c>
      <c r="AT28" s="3">
        <v>0.53</v>
      </c>
      <c r="AU28" s="3">
        <v>0.54</v>
      </c>
      <c r="AV28" s="3">
        <v>0.55000000000000004</v>
      </c>
      <c r="AW28" s="3">
        <v>0.56000000000000005</v>
      </c>
      <c r="AX28" s="3">
        <v>0.56999999999999995</v>
      </c>
      <c r="AY28" s="3">
        <v>0.57999999999999996</v>
      </c>
      <c r="AZ28" s="3">
        <v>0.59</v>
      </c>
      <c r="BA28" s="3">
        <v>0.6</v>
      </c>
      <c r="BB28" s="3">
        <v>0.61</v>
      </c>
      <c r="BC28" s="3">
        <v>0.62</v>
      </c>
      <c r="BD28" s="3">
        <v>0.63</v>
      </c>
      <c r="BE28" s="3">
        <v>0.64</v>
      </c>
      <c r="BF28" s="3">
        <v>0.65</v>
      </c>
      <c r="BG28" s="3">
        <v>0.66</v>
      </c>
      <c r="BH28" s="3">
        <v>0.01</v>
      </c>
      <c r="BI28" s="3">
        <v>0.02</v>
      </c>
      <c r="BJ28" s="3">
        <v>0.03</v>
      </c>
      <c r="BK28" s="3">
        <v>0.04</v>
      </c>
      <c r="BL28" s="3">
        <v>0.05</v>
      </c>
      <c r="BM28" s="3">
        <v>0.06</v>
      </c>
      <c r="BN28" s="3">
        <v>7.0000000000000007E-2</v>
      </c>
      <c r="BO28" s="3">
        <v>0.08</v>
      </c>
      <c r="BP28" s="3">
        <v>0.09</v>
      </c>
      <c r="BQ28" s="3">
        <v>0.1</v>
      </c>
      <c r="BR28" s="3">
        <v>0.11</v>
      </c>
      <c r="BS28" s="3">
        <v>0.12</v>
      </c>
      <c r="BT28" s="3">
        <v>0.13</v>
      </c>
      <c r="BU28" s="3">
        <v>0.14000000000000001</v>
      </c>
      <c r="BV28" s="3">
        <v>0.15</v>
      </c>
      <c r="BW28" s="3">
        <v>0.16</v>
      </c>
      <c r="BX28" s="3">
        <v>0.17</v>
      </c>
      <c r="BY28">
        <v>1</v>
      </c>
      <c r="BZ28">
        <v>2</v>
      </c>
      <c r="CA28">
        <v>3</v>
      </c>
      <c r="CB28">
        <v>4</v>
      </c>
      <c r="CC28">
        <v>5</v>
      </c>
      <c r="CD28">
        <v>6</v>
      </c>
      <c r="CE28">
        <v>7</v>
      </c>
      <c r="CF28">
        <v>8</v>
      </c>
      <c r="CG28">
        <v>9</v>
      </c>
      <c r="CH28">
        <v>10</v>
      </c>
      <c r="CI28">
        <v>11</v>
      </c>
      <c r="CJ28">
        <v>12</v>
      </c>
      <c r="CK28">
        <v>13</v>
      </c>
      <c r="CL28">
        <v>14</v>
      </c>
      <c r="CM28">
        <v>15</v>
      </c>
      <c r="CN28">
        <v>16</v>
      </c>
      <c r="CO28">
        <v>17</v>
      </c>
    </row>
    <row r="29" spans="1:93">
      <c r="A29" t="s">
        <v>36</v>
      </c>
      <c r="B29" s="3">
        <v>25</v>
      </c>
      <c r="C29" s="3">
        <v>26</v>
      </c>
      <c r="D29" t="s">
        <v>94</v>
      </c>
      <c r="E29" s="3">
        <v>1.3</v>
      </c>
      <c r="F29" t="s">
        <v>98</v>
      </c>
      <c r="G29" t="str">
        <f>'Simulation Information'!$C$27</f>
        <v>Summer casual</v>
      </c>
      <c r="H29" t="b">
        <v>0</v>
      </c>
      <c r="I29" s="3">
        <v>25</v>
      </c>
      <c r="J29" s="3">
        <v>25.1</v>
      </c>
      <c r="K29" s="3">
        <v>25.2</v>
      </c>
      <c r="L29" s="3">
        <v>25.3</v>
      </c>
      <c r="M29" s="3">
        <v>25.4</v>
      </c>
      <c r="N29" s="3">
        <v>25.5</v>
      </c>
      <c r="O29" s="3">
        <v>25.6</v>
      </c>
      <c r="P29" s="3">
        <v>25.7</v>
      </c>
      <c r="Q29" s="3">
        <v>25.8</v>
      </c>
      <c r="R29" s="3">
        <v>25.9</v>
      </c>
      <c r="S29" s="3">
        <v>26</v>
      </c>
      <c r="T29" s="3">
        <v>26.1</v>
      </c>
      <c r="U29" s="3">
        <v>26.2</v>
      </c>
      <c r="V29" s="3">
        <v>26.3</v>
      </c>
      <c r="W29" s="3">
        <v>26.4</v>
      </c>
      <c r="X29" s="3">
        <v>26.5</v>
      </c>
      <c r="Y29" s="3">
        <v>26.6</v>
      </c>
      <c r="Z29" s="3">
        <v>26.6</v>
      </c>
      <c r="AA29" s="3">
        <v>26.5</v>
      </c>
      <c r="AB29" s="3">
        <v>26.4</v>
      </c>
      <c r="AC29" s="3">
        <v>26.3</v>
      </c>
      <c r="AD29" s="3">
        <v>26.2</v>
      </c>
      <c r="AE29" s="3">
        <v>26.1</v>
      </c>
      <c r="AF29" s="3">
        <v>26</v>
      </c>
      <c r="AG29" s="3">
        <v>25.9</v>
      </c>
      <c r="AH29" s="3">
        <v>25.8</v>
      </c>
      <c r="AI29" s="3">
        <v>25.7</v>
      </c>
      <c r="AJ29" s="3">
        <v>25.6</v>
      </c>
      <c r="AK29" s="3">
        <v>25.5</v>
      </c>
      <c r="AL29" s="3">
        <v>25.4</v>
      </c>
      <c r="AM29" s="3">
        <v>25.3</v>
      </c>
      <c r="AN29" s="3">
        <v>25.2</v>
      </c>
      <c r="AO29" s="3">
        <v>25.1</v>
      </c>
      <c r="AP29" s="3">
        <v>25</v>
      </c>
      <c r="AQ29" s="3">
        <v>0.5</v>
      </c>
      <c r="AR29" s="3">
        <v>0.51</v>
      </c>
      <c r="AS29" s="3">
        <v>0.52</v>
      </c>
      <c r="AT29" s="3">
        <v>0.53</v>
      </c>
      <c r="AU29" s="3">
        <v>0.54</v>
      </c>
      <c r="AV29" s="3">
        <v>0.55000000000000004</v>
      </c>
      <c r="AW29" s="3">
        <v>0.56000000000000005</v>
      </c>
      <c r="AX29" s="3">
        <v>0.56999999999999995</v>
      </c>
      <c r="AY29" s="3">
        <v>0.57999999999999996</v>
      </c>
      <c r="AZ29" s="3">
        <v>0.59</v>
      </c>
      <c r="BA29" s="3">
        <v>0.6</v>
      </c>
      <c r="BB29" s="3">
        <v>0.61</v>
      </c>
      <c r="BC29" s="3">
        <v>0.62</v>
      </c>
      <c r="BD29" s="3">
        <v>0.63</v>
      </c>
      <c r="BE29" s="3">
        <v>0.64</v>
      </c>
      <c r="BF29" s="3">
        <v>0.65</v>
      </c>
      <c r="BG29" s="3">
        <v>0.66</v>
      </c>
      <c r="BH29" s="3">
        <v>0.01</v>
      </c>
      <c r="BI29" s="3">
        <v>0.02</v>
      </c>
      <c r="BJ29" s="3">
        <v>0.03</v>
      </c>
      <c r="BK29" s="3">
        <v>0.04</v>
      </c>
      <c r="BL29" s="3">
        <v>0.05</v>
      </c>
      <c r="BM29" s="3">
        <v>0.06</v>
      </c>
      <c r="BN29" s="3">
        <v>7.0000000000000007E-2</v>
      </c>
      <c r="BO29" s="3">
        <v>0.08</v>
      </c>
      <c r="BP29" s="3">
        <v>0.09</v>
      </c>
      <c r="BQ29" s="3">
        <v>0.1</v>
      </c>
      <c r="BR29" s="3">
        <v>0.11</v>
      </c>
      <c r="BS29" s="3">
        <v>0.12</v>
      </c>
      <c r="BT29" s="3">
        <v>0.13</v>
      </c>
      <c r="BU29" s="3">
        <v>0.14000000000000001</v>
      </c>
      <c r="BV29" s="3">
        <v>0.15</v>
      </c>
      <c r="BW29" s="3">
        <v>0.16</v>
      </c>
      <c r="BX29" s="3">
        <v>0.17</v>
      </c>
      <c r="BY29">
        <v>1</v>
      </c>
      <c r="BZ29">
        <v>2</v>
      </c>
      <c r="CA29">
        <v>3</v>
      </c>
      <c r="CB29">
        <v>4</v>
      </c>
      <c r="CC29">
        <v>5</v>
      </c>
      <c r="CD29">
        <v>6</v>
      </c>
      <c r="CE29">
        <v>7</v>
      </c>
      <c r="CF29">
        <v>8</v>
      </c>
      <c r="CG29">
        <v>9</v>
      </c>
      <c r="CH29">
        <v>10</v>
      </c>
      <c r="CI29">
        <v>11</v>
      </c>
      <c r="CJ29">
        <v>12</v>
      </c>
      <c r="CK29">
        <v>13</v>
      </c>
      <c r="CL29">
        <v>14</v>
      </c>
      <c r="CM29">
        <v>15</v>
      </c>
      <c r="CN29">
        <v>16</v>
      </c>
      <c r="CO29">
        <v>17</v>
      </c>
    </row>
    <row r="30" spans="1:93">
      <c r="A30" t="s">
        <v>36</v>
      </c>
      <c r="B30" s="3">
        <v>26</v>
      </c>
      <c r="C30" s="3">
        <v>27</v>
      </c>
      <c r="D30" t="s">
        <v>94</v>
      </c>
      <c r="E30" s="3">
        <v>1.3</v>
      </c>
      <c r="F30" t="s">
        <v>98</v>
      </c>
      <c r="G30" t="str">
        <f>'Simulation Information'!$C$27</f>
        <v>Summer casual</v>
      </c>
      <c r="H30" t="b">
        <v>0</v>
      </c>
      <c r="I30" s="3">
        <v>25</v>
      </c>
      <c r="J30" s="3">
        <v>25.1</v>
      </c>
      <c r="K30" s="3">
        <v>25.2</v>
      </c>
      <c r="L30" s="3">
        <v>25.3</v>
      </c>
      <c r="M30" s="3">
        <v>25.4</v>
      </c>
      <c r="N30" s="3">
        <v>25.5</v>
      </c>
      <c r="O30" s="3">
        <v>25.6</v>
      </c>
      <c r="P30" s="3">
        <v>25.7</v>
      </c>
      <c r="Q30" s="3">
        <v>25.8</v>
      </c>
      <c r="R30" s="3">
        <v>25.9</v>
      </c>
      <c r="S30" s="3">
        <v>26</v>
      </c>
      <c r="T30" s="3">
        <v>26.1</v>
      </c>
      <c r="U30" s="3">
        <v>26.2</v>
      </c>
      <c r="V30" s="3">
        <v>26.3</v>
      </c>
      <c r="W30" s="3">
        <v>26.4</v>
      </c>
      <c r="X30" s="3">
        <v>26.5</v>
      </c>
      <c r="Y30" s="3">
        <v>26.6</v>
      </c>
      <c r="Z30" s="3">
        <v>26.6</v>
      </c>
      <c r="AA30" s="3">
        <v>26.5</v>
      </c>
      <c r="AB30" s="3">
        <v>26.4</v>
      </c>
      <c r="AC30" s="3">
        <v>26.3</v>
      </c>
      <c r="AD30" s="3">
        <v>26.2</v>
      </c>
      <c r="AE30" s="3">
        <v>26.1</v>
      </c>
      <c r="AF30" s="3">
        <v>26</v>
      </c>
      <c r="AG30" s="3">
        <v>25.9</v>
      </c>
      <c r="AH30" s="3">
        <v>25.8</v>
      </c>
      <c r="AI30" s="3">
        <v>25.7</v>
      </c>
      <c r="AJ30" s="3">
        <v>25.6</v>
      </c>
      <c r="AK30" s="3">
        <v>25.5</v>
      </c>
      <c r="AL30" s="3">
        <v>25.4</v>
      </c>
      <c r="AM30" s="3">
        <v>25.3</v>
      </c>
      <c r="AN30" s="3">
        <v>25.2</v>
      </c>
      <c r="AO30" s="3">
        <v>25.1</v>
      </c>
      <c r="AP30" s="3">
        <v>25</v>
      </c>
      <c r="AQ30" s="3">
        <v>0.5</v>
      </c>
      <c r="AR30" s="3">
        <v>0.51</v>
      </c>
      <c r="AS30" s="3">
        <v>0.52</v>
      </c>
      <c r="AT30" s="3">
        <v>0.53</v>
      </c>
      <c r="AU30" s="3">
        <v>0.54</v>
      </c>
      <c r="AV30" s="3">
        <v>0.55000000000000004</v>
      </c>
      <c r="AW30" s="3">
        <v>0.56000000000000005</v>
      </c>
      <c r="AX30" s="3">
        <v>0.56999999999999995</v>
      </c>
      <c r="AY30" s="3">
        <v>0.57999999999999996</v>
      </c>
      <c r="AZ30" s="3">
        <v>0.59</v>
      </c>
      <c r="BA30" s="3">
        <v>0.6</v>
      </c>
      <c r="BB30" s="3">
        <v>0.61</v>
      </c>
      <c r="BC30" s="3">
        <v>0.62</v>
      </c>
      <c r="BD30" s="3">
        <v>0.63</v>
      </c>
      <c r="BE30" s="3">
        <v>0.64</v>
      </c>
      <c r="BF30" s="3">
        <v>0.65</v>
      </c>
      <c r="BG30" s="3">
        <v>0.66</v>
      </c>
      <c r="BH30" s="3">
        <v>0.01</v>
      </c>
      <c r="BI30" s="3">
        <v>0.02</v>
      </c>
      <c r="BJ30" s="3">
        <v>0.03</v>
      </c>
      <c r="BK30" s="3">
        <v>0.04</v>
      </c>
      <c r="BL30" s="3">
        <v>0.05</v>
      </c>
      <c r="BM30" s="3">
        <v>0.06</v>
      </c>
      <c r="BN30" s="3">
        <v>7.0000000000000007E-2</v>
      </c>
      <c r="BO30" s="3">
        <v>0.08</v>
      </c>
      <c r="BP30" s="3">
        <v>0.09</v>
      </c>
      <c r="BQ30" s="3">
        <v>0.1</v>
      </c>
      <c r="BR30" s="3">
        <v>0.11</v>
      </c>
      <c r="BS30" s="3">
        <v>0.12</v>
      </c>
      <c r="BT30" s="3">
        <v>0.13</v>
      </c>
      <c r="BU30" s="3">
        <v>0.14000000000000001</v>
      </c>
      <c r="BV30" s="3">
        <v>0.15</v>
      </c>
      <c r="BW30" s="3">
        <v>0.16</v>
      </c>
      <c r="BX30" s="3">
        <v>0.17</v>
      </c>
      <c r="BY30">
        <v>1</v>
      </c>
      <c r="BZ30">
        <v>2</v>
      </c>
      <c r="CA30">
        <v>3</v>
      </c>
      <c r="CB30">
        <v>4</v>
      </c>
      <c r="CC30">
        <v>5</v>
      </c>
      <c r="CD30">
        <v>6</v>
      </c>
      <c r="CE30">
        <v>7</v>
      </c>
      <c r="CF30">
        <v>8</v>
      </c>
      <c r="CG30">
        <v>9</v>
      </c>
      <c r="CH30">
        <v>10</v>
      </c>
      <c r="CI30">
        <v>11</v>
      </c>
      <c r="CJ30">
        <v>12</v>
      </c>
      <c r="CK30">
        <v>13</v>
      </c>
      <c r="CL30">
        <v>14</v>
      </c>
      <c r="CM30">
        <v>15</v>
      </c>
      <c r="CN30">
        <v>16</v>
      </c>
      <c r="CO30">
        <v>17</v>
      </c>
    </row>
    <row r="31" spans="1:93">
      <c r="A31" t="s">
        <v>36</v>
      </c>
      <c r="B31" s="3">
        <v>27</v>
      </c>
      <c r="C31" s="3">
        <v>28</v>
      </c>
      <c r="D31" t="s">
        <v>94</v>
      </c>
      <c r="E31" s="3">
        <v>1.3</v>
      </c>
      <c r="F31" t="s">
        <v>98</v>
      </c>
      <c r="G31" t="str">
        <f>'Simulation Information'!$C$27</f>
        <v>Summer casual</v>
      </c>
      <c r="H31" t="b">
        <v>0</v>
      </c>
      <c r="I31" s="3">
        <v>25</v>
      </c>
      <c r="J31" s="3">
        <v>25.1</v>
      </c>
      <c r="K31" s="3">
        <v>25.2</v>
      </c>
      <c r="L31" s="3">
        <v>25.3</v>
      </c>
      <c r="M31" s="3">
        <v>25.4</v>
      </c>
      <c r="N31" s="3">
        <v>25.5</v>
      </c>
      <c r="O31" s="3">
        <v>25.6</v>
      </c>
      <c r="P31" s="3">
        <v>25.7</v>
      </c>
      <c r="Q31" s="3">
        <v>25.8</v>
      </c>
      <c r="R31" s="3">
        <v>25.9</v>
      </c>
      <c r="S31" s="3">
        <v>26</v>
      </c>
      <c r="T31" s="3">
        <v>26.1</v>
      </c>
      <c r="U31" s="3">
        <v>26.2</v>
      </c>
      <c r="V31" s="3">
        <v>26.3</v>
      </c>
      <c r="W31" s="3">
        <v>26.4</v>
      </c>
      <c r="X31" s="3">
        <v>26.5</v>
      </c>
      <c r="Y31" s="3">
        <v>26.6</v>
      </c>
      <c r="Z31" s="3">
        <v>26.6</v>
      </c>
      <c r="AA31" s="3">
        <v>26.5</v>
      </c>
      <c r="AB31" s="3">
        <v>26.4</v>
      </c>
      <c r="AC31" s="3">
        <v>26.3</v>
      </c>
      <c r="AD31" s="3">
        <v>26.2</v>
      </c>
      <c r="AE31" s="3">
        <v>26.1</v>
      </c>
      <c r="AF31" s="3">
        <v>26</v>
      </c>
      <c r="AG31" s="3">
        <v>25.9</v>
      </c>
      <c r="AH31" s="3">
        <v>25.8</v>
      </c>
      <c r="AI31" s="3">
        <v>25.7</v>
      </c>
      <c r="AJ31" s="3">
        <v>25.6</v>
      </c>
      <c r="AK31" s="3">
        <v>25.5</v>
      </c>
      <c r="AL31" s="3">
        <v>25.4</v>
      </c>
      <c r="AM31" s="3">
        <v>25.3</v>
      </c>
      <c r="AN31" s="3">
        <v>25.2</v>
      </c>
      <c r="AO31" s="3">
        <v>25.1</v>
      </c>
      <c r="AP31" s="3">
        <v>25</v>
      </c>
      <c r="AQ31" s="3">
        <v>0.5</v>
      </c>
      <c r="AR31" s="3">
        <v>0.51</v>
      </c>
      <c r="AS31" s="3">
        <v>0.52</v>
      </c>
      <c r="AT31" s="3">
        <v>0.53</v>
      </c>
      <c r="AU31" s="3">
        <v>0.54</v>
      </c>
      <c r="AV31" s="3">
        <v>0.55000000000000004</v>
      </c>
      <c r="AW31" s="3">
        <v>0.56000000000000005</v>
      </c>
      <c r="AX31" s="3">
        <v>0.56999999999999995</v>
      </c>
      <c r="AY31" s="3">
        <v>0.57999999999999996</v>
      </c>
      <c r="AZ31" s="3">
        <v>0.59</v>
      </c>
      <c r="BA31" s="3">
        <v>0.6</v>
      </c>
      <c r="BB31" s="3">
        <v>0.61</v>
      </c>
      <c r="BC31" s="3">
        <v>0.62</v>
      </c>
      <c r="BD31" s="3">
        <v>0.63</v>
      </c>
      <c r="BE31" s="3">
        <v>0.64</v>
      </c>
      <c r="BF31" s="3">
        <v>0.65</v>
      </c>
      <c r="BG31" s="3">
        <v>0.66</v>
      </c>
      <c r="BH31" s="3">
        <v>0.01</v>
      </c>
      <c r="BI31" s="3">
        <v>0.02</v>
      </c>
      <c r="BJ31" s="3">
        <v>0.03</v>
      </c>
      <c r="BK31" s="3">
        <v>0.04</v>
      </c>
      <c r="BL31" s="3">
        <v>0.05</v>
      </c>
      <c r="BM31" s="3">
        <v>0.06</v>
      </c>
      <c r="BN31" s="3">
        <v>7.0000000000000007E-2</v>
      </c>
      <c r="BO31" s="3">
        <v>0.08</v>
      </c>
      <c r="BP31" s="3">
        <v>0.09</v>
      </c>
      <c r="BQ31" s="3">
        <v>0.1</v>
      </c>
      <c r="BR31" s="3">
        <v>0.11</v>
      </c>
      <c r="BS31" s="3">
        <v>0.12</v>
      </c>
      <c r="BT31" s="3">
        <v>0.13</v>
      </c>
      <c r="BU31" s="3">
        <v>0.14000000000000001</v>
      </c>
      <c r="BV31" s="3">
        <v>0.15</v>
      </c>
      <c r="BW31" s="3">
        <v>0.16</v>
      </c>
      <c r="BX31" s="3">
        <v>0.17</v>
      </c>
      <c r="BY31">
        <v>1</v>
      </c>
      <c r="BZ31">
        <v>2</v>
      </c>
      <c r="CA31">
        <v>3</v>
      </c>
      <c r="CB31">
        <v>4</v>
      </c>
      <c r="CC31">
        <v>5</v>
      </c>
      <c r="CD31">
        <v>6</v>
      </c>
      <c r="CE31">
        <v>7</v>
      </c>
      <c r="CF31">
        <v>8</v>
      </c>
      <c r="CG31">
        <v>9</v>
      </c>
      <c r="CH31">
        <v>10</v>
      </c>
      <c r="CI31">
        <v>11</v>
      </c>
      <c r="CJ31">
        <v>12</v>
      </c>
      <c r="CK31">
        <v>13</v>
      </c>
      <c r="CL31">
        <v>14</v>
      </c>
      <c r="CM31">
        <v>15</v>
      </c>
      <c r="CN31">
        <v>16</v>
      </c>
      <c r="CO31">
        <v>17</v>
      </c>
    </row>
    <row r="32" spans="1:93">
      <c r="A32" t="s">
        <v>36</v>
      </c>
      <c r="B32" s="3">
        <v>28</v>
      </c>
      <c r="C32" s="3">
        <v>29</v>
      </c>
      <c r="D32" t="s">
        <v>94</v>
      </c>
      <c r="E32" s="3">
        <v>1.3</v>
      </c>
      <c r="F32" t="s">
        <v>98</v>
      </c>
      <c r="G32" t="str">
        <f>'Simulation Information'!$C$27</f>
        <v>Summer casual</v>
      </c>
      <c r="H32" t="b">
        <v>0</v>
      </c>
      <c r="I32" s="3">
        <v>25</v>
      </c>
      <c r="J32" s="3">
        <v>25.1</v>
      </c>
      <c r="K32" s="3">
        <v>25.2</v>
      </c>
      <c r="L32" s="3">
        <v>25.3</v>
      </c>
      <c r="M32" s="3">
        <v>25.4</v>
      </c>
      <c r="N32" s="3">
        <v>25.5</v>
      </c>
      <c r="O32" s="3">
        <v>25.6</v>
      </c>
      <c r="P32" s="3">
        <v>25.7</v>
      </c>
      <c r="Q32" s="3">
        <v>25.8</v>
      </c>
      <c r="R32" s="3">
        <v>25.9</v>
      </c>
      <c r="S32" s="3">
        <v>26</v>
      </c>
      <c r="T32" s="3">
        <v>26.1</v>
      </c>
      <c r="U32" s="3">
        <v>26.2</v>
      </c>
      <c r="V32" s="3">
        <v>26.3</v>
      </c>
      <c r="W32" s="3">
        <v>26.4</v>
      </c>
      <c r="X32" s="3">
        <v>26.5</v>
      </c>
      <c r="Y32" s="3">
        <v>26.6</v>
      </c>
      <c r="Z32" s="3">
        <v>26.6</v>
      </c>
      <c r="AA32" s="3">
        <v>26.5</v>
      </c>
      <c r="AB32" s="3">
        <v>26.4</v>
      </c>
      <c r="AC32" s="3">
        <v>26.3</v>
      </c>
      <c r="AD32" s="3">
        <v>26.2</v>
      </c>
      <c r="AE32" s="3">
        <v>26.1</v>
      </c>
      <c r="AF32" s="3">
        <v>26</v>
      </c>
      <c r="AG32" s="3">
        <v>25.9</v>
      </c>
      <c r="AH32" s="3">
        <v>25.8</v>
      </c>
      <c r="AI32" s="3">
        <v>25.7</v>
      </c>
      <c r="AJ32" s="3">
        <v>25.6</v>
      </c>
      <c r="AK32" s="3">
        <v>25.5</v>
      </c>
      <c r="AL32" s="3">
        <v>25.4</v>
      </c>
      <c r="AM32" s="3">
        <v>25.3</v>
      </c>
      <c r="AN32" s="3">
        <v>25.2</v>
      </c>
      <c r="AO32" s="3">
        <v>25.1</v>
      </c>
      <c r="AP32" s="3">
        <v>25</v>
      </c>
      <c r="AQ32" s="3">
        <v>0.5</v>
      </c>
      <c r="AR32" s="3">
        <v>0.51</v>
      </c>
      <c r="AS32" s="3">
        <v>0.52</v>
      </c>
      <c r="AT32" s="3">
        <v>0.53</v>
      </c>
      <c r="AU32" s="3">
        <v>0.54</v>
      </c>
      <c r="AV32" s="3">
        <v>0.55000000000000004</v>
      </c>
      <c r="AW32" s="3">
        <v>0.56000000000000005</v>
      </c>
      <c r="AX32" s="3">
        <v>0.56999999999999995</v>
      </c>
      <c r="AY32" s="3">
        <v>0.57999999999999996</v>
      </c>
      <c r="AZ32" s="3">
        <v>0.59</v>
      </c>
      <c r="BA32" s="3">
        <v>0.6</v>
      </c>
      <c r="BB32" s="3">
        <v>0.61</v>
      </c>
      <c r="BC32" s="3">
        <v>0.62</v>
      </c>
      <c r="BD32" s="3">
        <v>0.63</v>
      </c>
      <c r="BE32" s="3">
        <v>0.64</v>
      </c>
      <c r="BF32" s="3">
        <v>0.65</v>
      </c>
      <c r="BG32" s="3">
        <v>0.66</v>
      </c>
      <c r="BH32" s="3">
        <v>0.01</v>
      </c>
      <c r="BI32" s="3">
        <v>0.02</v>
      </c>
      <c r="BJ32" s="3">
        <v>0.03</v>
      </c>
      <c r="BK32" s="3">
        <v>0.04</v>
      </c>
      <c r="BL32" s="3">
        <v>0.05</v>
      </c>
      <c r="BM32" s="3">
        <v>0.06</v>
      </c>
      <c r="BN32" s="3">
        <v>7.0000000000000007E-2</v>
      </c>
      <c r="BO32" s="3">
        <v>0.08</v>
      </c>
      <c r="BP32" s="3">
        <v>0.09</v>
      </c>
      <c r="BQ32" s="3">
        <v>0.1</v>
      </c>
      <c r="BR32" s="3">
        <v>0.11</v>
      </c>
      <c r="BS32" s="3">
        <v>0.12</v>
      </c>
      <c r="BT32" s="3">
        <v>0.13</v>
      </c>
      <c r="BU32" s="3">
        <v>0.14000000000000001</v>
      </c>
      <c r="BV32" s="3">
        <v>0.15</v>
      </c>
      <c r="BW32" s="3">
        <v>0.16</v>
      </c>
      <c r="BX32" s="3">
        <v>0.17</v>
      </c>
      <c r="BY32">
        <v>1</v>
      </c>
      <c r="BZ32">
        <v>2</v>
      </c>
      <c r="CA32">
        <v>3</v>
      </c>
      <c r="CB32">
        <v>4</v>
      </c>
      <c r="CC32">
        <v>5</v>
      </c>
      <c r="CD32">
        <v>6</v>
      </c>
      <c r="CE32">
        <v>7</v>
      </c>
      <c r="CF32">
        <v>8</v>
      </c>
      <c r="CG32">
        <v>9</v>
      </c>
      <c r="CH32">
        <v>10</v>
      </c>
      <c r="CI32">
        <v>11</v>
      </c>
      <c r="CJ32">
        <v>12</v>
      </c>
      <c r="CK32">
        <v>13</v>
      </c>
      <c r="CL32">
        <v>14</v>
      </c>
      <c r="CM32">
        <v>15</v>
      </c>
      <c r="CN32">
        <v>16</v>
      </c>
      <c r="CO32">
        <v>17</v>
      </c>
    </row>
    <row r="33" spans="1:93">
      <c r="A33" t="s">
        <v>36</v>
      </c>
      <c r="B33" s="3">
        <v>29</v>
      </c>
      <c r="C33" s="3">
        <v>30</v>
      </c>
      <c r="D33" t="s">
        <v>94</v>
      </c>
      <c r="E33" s="3">
        <v>1.3</v>
      </c>
      <c r="F33" t="s">
        <v>98</v>
      </c>
      <c r="G33" t="str">
        <f>'Simulation Information'!$C$27</f>
        <v>Summer casual</v>
      </c>
      <c r="H33" t="b">
        <v>0</v>
      </c>
      <c r="I33" s="3">
        <v>25</v>
      </c>
      <c r="J33" s="3">
        <v>25.1</v>
      </c>
      <c r="K33" s="3">
        <v>25.2</v>
      </c>
      <c r="L33" s="3">
        <v>25.3</v>
      </c>
      <c r="M33" s="3">
        <v>25.4</v>
      </c>
      <c r="N33" s="3">
        <v>25.5</v>
      </c>
      <c r="O33" s="3">
        <v>25.6</v>
      </c>
      <c r="P33" s="3">
        <v>25.7</v>
      </c>
      <c r="Q33" s="3">
        <v>25.8</v>
      </c>
      <c r="R33" s="3">
        <v>25.9</v>
      </c>
      <c r="S33" s="3">
        <v>26</v>
      </c>
      <c r="T33" s="3">
        <v>26.1</v>
      </c>
      <c r="U33" s="3">
        <v>26.2</v>
      </c>
      <c r="V33" s="3">
        <v>26.3</v>
      </c>
      <c r="W33" s="3">
        <v>26.4</v>
      </c>
      <c r="X33" s="3">
        <v>26.5</v>
      </c>
      <c r="Y33" s="3">
        <v>26.6</v>
      </c>
      <c r="Z33" s="3">
        <v>26.6</v>
      </c>
      <c r="AA33" s="3">
        <v>26.5</v>
      </c>
      <c r="AB33" s="3">
        <v>26.4</v>
      </c>
      <c r="AC33" s="3">
        <v>26.3</v>
      </c>
      <c r="AD33" s="3">
        <v>26.2</v>
      </c>
      <c r="AE33" s="3">
        <v>26.1</v>
      </c>
      <c r="AF33" s="3">
        <v>26</v>
      </c>
      <c r="AG33" s="3">
        <v>25.9</v>
      </c>
      <c r="AH33" s="3">
        <v>25.8</v>
      </c>
      <c r="AI33" s="3">
        <v>25.7</v>
      </c>
      <c r="AJ33" s="3">
        <v>25.6</v>
      </c>
      <c r="AK33" s="3">
        <v>25.5</v>
      </c>
      <c r="AL33" s="3">
        <v>25.4</v>
      </c>
      <c r="AM33" s="3">
        <v>25.3</v>
      </c>
      <c r="AN33" s="3">
        <v>25.2</v>
      </c>
      <c r="AO33" s="3">
        <v>25.1</v>
      </c>
      <c r="AP33" s="3">
        <v>25</v>
      </c>
      <c r="AQ33" s="3">
        <v>0.5</v>
      </c>
      <c r="AR33" s="3">
        <v>0.51</v>
      </c>
      <c r="AS33" s="3">
        <v>0.52</v>
      </c>
      <c r="AT33" s="3">
        <v>0.53</v>
      </c>
      <c r="AU33" s="3">
        <v>0.54</v>
      </c>
      <c r="AV33" s="3">
        <v>0.55000000000000004</v>
      </c>
      <c r="AW33" s="3">
        <v>0.56000000000000005</v>
      </c>
      <c r="AX33" s="3">
        <v>0.56999999999999995</v>
      </c>
      <c r="AY33" s="3">
        <v>0.57999999999999996</v>
      </c>
      <c r="AZ33" s="3">
        <v>0.59</v>
      </c>
      <c r="BA33" s="3">
        <v>0.6</v>
      </c>
      <c r="BB33" s="3">
        <v>0.61</v>
      </c>
      <c r="BC33" s="3">
        <v>0.62</v>
      </c>
      <c r="BD33" s="3">
        <v>0.63</v>
      </c>
      <c r="BE33" s="3">
        <v>0.64</v>
      </c>
      <c r="BF33" s="3">
        <v>0.65</v>
      </c>
      <c r="BG33" s="3">
        <v>0.66</v>
      </c>
      <c r="BH33" s="3">
        <v>0.01</v>
      </c>
      <c r="BI33" s="3">
        <v>0.02</v>
      </c>
      <c r="BJ33" s="3">
        <v>0.03</v>
      </c>
      <c r="BK33" s="3">
        <v>0.04</v>
      </c>
      <c r="BL33" s="3">
        <v>0.05</v>
      </c>
      <c r="BM33" s="3">
        <v>0.06</v>
      </c>
      <c r="BN33" s="3">
        <v>7.0000000000000007E-2</v>
      </c>
      <c r="BO33" s="3">
        <v>0.08</v>
      </c>
      <c r="BP33" s="3">
        <v>0.09</v>
      </c>
      <c r="BQ33" s="3">
        <v>0.1</v>
      </c>
      <c r="BR33" s="3">
        <v>0.11</v>
      </c>
      <c r="BS33" s="3">
        <v>0.12</v>
      </c>
      <c r="BT33" s="3">
        <v>0.13</v>
      </c>
      <c r="BU33" s="3">
        <v>0.14000000000000001</v>
      </c>
      <c r="BV33" s="3">
        <v>0.15</v>
      </c>
      <c r="BW33" s="3">
        <v>0.16</v>
      </c>
      <c r="BX33" s="3">
        <v>0.17</v>
      </c>
      <c r="BY33">
        <v>1</v>
      </c>
      <c r="BZ33">
        <v>2</v>
      </c>
      <c r="CA33">
        <v>3</v>
      </c>
      <c r="CB33">
        <v>4</v>
      </c>
      <c r="CC33">
        <v>5</v>
      </c>
      <c r="CD33">
        <v>6</v>
      </c>
      <c r="CE33">
        <v>7</v>
      </c>
      <c r="CF33">
        <v>8</v>
      </c>
      <c r="CG33">
        <v>9</v>
      </c>
      <c r="CH33">
        <v>10</v>
      </c>
      <c r="CI33">
        <v>11</v>
      </c>
      <c r="CJ33">
        <v>12</v>
      </c>
      <c r="CK33">
        <v>13</v>
      </c>
      <c r="CL33">
        <v>14</v>
      </c>
      <c r="CM33">
        <v>15</v>
      </c>
      <c r="CN33">
        <v>16</v>
      </c>
      <c r="CO33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BFCF0-B856-42FE-8A14-E241C172168E}">
  <sheetPr codeName="Sheet3">
    <tabColor rgb="FFFF0000"/>
  </sheetPr>
  <dimension ref="A1:FM31"/>
  <sheetViews>
    <sheetView workbookViewId="0">
      <selection activeCell="I20" sqref="I20"/>
    </sheetView>
  </sheetViews>
  <sheetFormatPr defaultRowHeight="14.25"/>
  <cols>
    <col min="1" max="1" width="11.19921875" bestFit="1" customWidth="1"/>
    <col min="2" max="7" width="11.73046875" bestFit="1" customWidth="1"/>
    <col min="8" max="8" width="3.73046875" bestFit="1" customWidth="1"/>
    <col min="9" max="9" width="13.53125" bestFit="1" customWidth="1"/>
    <col min="10" max="10" width="21.53125" bestFit="1" customWidth="1"/>
    <col min="11" max="11" width="14.86328125" bestFit="1" customWidth="1"/>
    <col min="12" max="12" width="20.53125" bestFit="1" customWidth="1"/>
    <col min="13" max="13" width="23.19921875" bestFit="1" customWidth="1"/>
    <col min="14" max="14" width="12.6640625" bestFit="1" customWidth="1"/>
    <col min="15" max="20" width="11.73046875" bestFit="1" customWidth="1"/>
    <col min="21" max="22" width="12.33203125" bestFit="1" customWidth="1"/>
    <col min="23" max="23" width="11.73046875" bestFit="1" customWidth="1"/>
    <col min="24" max="25" width="12.33203125" bestFit="1" customWidth="1"/>
    <col min="26" max="28" width="11.73046875" bestFit="1" customWidth="1"/>
    <col min="29" max="29" width="17.265625" bestFit="1" customWidth="1"/>
    <col min="30" max="30" width="12.33203125" bestFit="1" customWidth="1"/>
    <col min="31" max="31" width="19.9296875" bestFit="1" customWidth="1"/>
    <col min="32" max="32" width="11.73046875" bestFit="1" customWidth="1"/>
    <col min="33" max="33" width="12.796875" bestFit="1" customWidth="1"/>
    <col min="34" max="34" width="16" bestFit="1" customWidth="1"/>
    <col min="35" max="37" width="11.73046875" bestFit="1" customWidth="1"/>
    <col min="38" max="38" width="17.73046875" bestFit="1" customWidth="1"/>
    <col min="39" max="39" width="12.3984375" bestFit="1" customWidth="1"/>
    <col min="40" max="40" width="20.3984375" bestFit="1" customWidth="1"/>
    <col min="41" max="41" width="11.73046875" bestFit="1" customWidth="1"/>
    <col min="42" max="42" width="13.265625" bestFit="1" customWidth="1"/>
    <col min="43" max="43" width="16.46484375" bestFit="1" customWidth="1"/>
    <col min="44" max="46" width="11.73046875" bestFit="1" customWidth="1"/>
    <col min="47" max="47" width="16.9296875" bestFit="1" customWidth="1"/>
    <col min="48" max="48" width="12.33203125" bestFit="1" customWidth="1"/>
    <col min="49" max="49" width="19.59765625" bestFit="1" customWidth="1"/>
    <col min="50" max="50" width="11.73046875" bestFit="1" customWidth="1"/>
    <col min="51" max="51" width="12.3984375" bestFit="1" customWidth="1"/>
    <col min="52" max="52" width="15.6640625" bestFit="1" customWidth="1"/>
    <col min="53" max="55" width="11.73046875" bestFit="1" customWidth="1"/>
    <col min="56" max="56" width="17.6640625" bestFit="1" customWidth="1"/>
    <col min="57" max="57" width="12.33203125" bestFit="1" customWidth="1"/>
    <col min="58" max="58" width="20.33203125" bestFit="1" customWidth="1"/>
    <col min="59" max="59" width="11.73046875" bestFit="1" customWidth="1"/>
    <col min="60" max="60" width="13.19921875" bestFit="1" customWidth="1"/>
    <col min="61" max="61" width="16.3984375" bestFit="1" customWidth="1"/>
    <col min="62" max="62" width="17" bestFit="1" customWidth="1"/>
    <col min="63" max="63" width="17.265625" bestFit="1" customWidth="1"/>
    <col min="64" max="64" width="16.6640625" bestFit="1" customWidth="1"/>
    <col min="65" max="65" width="24.6640625" bestFit="1" customWidth="1"/>
    <col min="66" max="66" width="19.3984375" bestFit="1" customWidth="1"/>
    <col min="67" max="67" width="27.3984375" bestFit="1" customWidth="1"/>
    <col min="68" max="68" width="16" bestFit="1" customWidth="1"/>
    <col min="69" max="69" width="20.19921875" bestFit="1" customWidth="1"/>
    <col min="70" max="70" width="23.46484375" bestFit="1" customWidth="1"/>
    <col min="71" max="71" width="18.06640625" bestFit="1" customWidth="1"/>
    <col min="72" max="72" width="18.33203125" bestFit="1" customWidth="1"/>
    <col min="73" max="73" width="17.796875" bestFit="1" customWidth="1"/>
    <col min="74" max="74" width="25.796875" bestFit="1" customWidth="1"/>
    <col min="75" max="75" width="20.46484375" bestFit="1" customWidth="1"/>
    <col min="76" max="76" width="28.46484375" bestFit="1" customWidth="1"/>
    <col min="77" max="77" width="17.1328125" bestFit="1" customWidth="1"/>
    <col min="78" max="78" width="21.33203125" bestFit="1" customWidth="1"/>
    <col min="79" max="79" width="24.53125" bestFit="1" customWidth="1"/>
    <col min="80" max="80" width="16.9296875" bestFit="1" customWidth="1"/>
    <col min="81" max="81" width="17.19921875" bestFit="1" customWidth="1"/>
    <col min="82" max="82" width="16.59765625" bestFit="1" customWidth="1"/>
    <col min="83" max="83" width="24.59765625" bestFit="1" customWidth="1"/>
    <col min="84" max="84" width="19.33203125" bestFit="1" customWidth="1"/>
    <col min="85" max="85" width="27.33203125" bestFit="1" customWidth="1"/>
    <col min="86" max="86" width="15.9296875" bestFit="1" customWidth="1"/>
    <col min="87" max="87" width="20.1328125" bestFit="1" customWidth="1"/>
    <col min="88" max="88" width="23.3984375" bestFit="1" customWidth="1"/>
    <col min="89" max="89" width="18" bestFit="1" customWidth="1"/>
    <col min="90" max="90" width="18.265625" bestFit="1" customWidth="1"/>
    <col min="91" max="91" width="17.73046875" bestFit="1" customWidth="1"/>
    <col min="92" max="92" width="25.73046875" bestFit="1" customWidth="1"/>
    <col min="93" max="93" width="20.3984375" bestFit="1" customWidth="1"/>
    <col min="94" max="94" width="28.3984375" bestFit="1" customWidth="1"/>
    <col min="95" max="95" width="17.06640625" bestFit="1" customWidth="1"/>
    <col min="96" max="96" width="21.265625" bestFit="1" customWidth="1"/>
    <col min="97" max="97" width="24.46484375" bestFit="1" customWidth="1"/>
    <col min="98" max="98" width="12.9296875" bestFit="1" customWidth="1"/>
    <col min="99" max="99" width="13.19921875" bestFit="1" customWidth="1"/>
    <col min="100" max="100" width="12.59765625" bestFit="1" customWidth="1"/>
    <col min="101" max="101" width="20.59765625" bestFit="1" customWidth="1"/>
    <col min="102" max="102" width="15.33203125" bestFit="1" customWidth="1"/>
    <col min="103" max="103" width="23.33203125" bestFit="1" customWidth="1"/>
    <col min="104" max="104" width="11.9296875" bestFit="1" customWidth="1"/>
    <col min="105" max="105" width="16.1328125" bestFit="1" customWidth="1"/>
    <col min="106" max="106" width="19.3984375" bestFit="1" customWidth="1"/>
    <col min="107" max="107" width="14" bestFit="1" customWidth="1"/>
    <col min="108" max="108" width="14.265625" bestFit="1" customWidth="1"/>
    <col min="109" max="109" width="13.73046875" bestFit="1" customWidth="1"/>
    <col min="110" max="110" width="21.73046875" bestFit="1" customWidth="1"/>
    <col min="111" max="111" width="16.3984375" bestFit="1" customWidth="1"/>
    <col min="112" max="112" width="24.3984375" bestFit="1" customWidth="1"/>
    <col min="113" max="113" width="13.06640625" bestFit="1" customWidth="1"/>
    <col min="114" max="114" width="17.265625" bestFit="1" customWidth="1"/>
    <col min="115" max="115" width="20.46484375" bestFit="1" customWidth="1"/>
    <col min="116" max="116" width="12.9296875" bestFit="1" customWidth="1"/>
    <col min="117" max="117" width="13.19921875" bestFit="1" customWidth="1"/>
    <col min="118" max="118" width="12.59765625" bestFit="1" customWidth="1"/>
    <col min="119" max="119" width="20.59765625" bestFit="1" customWidth="1"/>
    <col min="120" max="120" width="15.33203125" bestFit="1" customWidth="1"/>
    <col min="121" max="121" width="23.33203125" bestFit="1" customWidth="1"/>
    <col min="122" max="122" width="11.9296875" bestFit="1" customWidth="1"/>
    <col min="123" max="123" width="16.1328125" bestFit="1" customWidth="1"/>
    <col min="124" max="124" width="19.3984375" bestFit="1" customWidth="1"/>
    <col min="125" max="125" width="14" bestFit="1" customWidth="1"/>
    <col min="126" max="126" width="14.265625" bestFit="1" customWidth="1"/>
    <col min="127" max="127" width="13.73046875" bestFit="1" customWidth="1"/>
    <col min="128" max="128" width="21.73046875" bestFit="1" customWidth="1"/>
    <col min="129" max="129" width="16.3984375" bestFit="1" customWidth="1"/>
    <col min="130" max="130" width="24.3984375" bestFit="1" customWidth="1"/>
    <col min="131" max="131" width="13.06640625" bestFit="1" customWidth="1"/>
    <col min="132" max="132" width="17.265625" bestFit="1" customWidth="1"/>
    <col min="133" max="133" width="20.46484375" bestFit="1" customWidth="1"/>
    <col min="134" max="134" width="16.3984375" bestFit="1" customWidth="1"/>
    <col min="135" max="135" width="16.6640625" bestFit="1" customWidth="1"/>
    <col min="136" max="136" width="16.1328125" bestFit="1" customWidth="1"/>
    <col min="137" max="137" width="24.1328125" bestFit="1" customWidth="1"/>
    <col min="138" max="138" width="18.86328125" bestFit="1" customWidth="1"/>
    <col min="139" max="139" width="26.86328125" bestFit="1" customWidth="1"/>
    <col min="140" max="140" width="15.46484375" bestFit="1" customWidth="1"/>
    <col min="141" max="141" width="19.6640625" bestFit="1" customWidth="1"/>
    <col min="142" max="142" width="22.9296875" bestFit="1" customWidth="1"/>
    <col min="143" max="143" width="17.53125" bestFit="1" customWidth="1"/>
    <col min="144" max="144" width="17.796875" bestFit="1" customWidth="1"/>
    <col min="145" max="145" width="17.265625" bestFit="1" customWidth="1"/>
    <col min="146" max="146" width="25.265625" bestFit="1" customWidth="1"/>
    <col min="147" max="147" width="19.9296875" bestFit="1" customWidth="1"/>
    <col min="148" max="148" width="27.9296875" bestFit="1" customWidth="1"/>
    <col min="149" max="149" width="16.53125" bestFit="1" customWidth="1"/>
    <col min="150" max="150" width="20.73046875" bestFit="1" customWidth="1"/>
    <col min="151" max="151" width="24" bestFit="1" customWidth="1"/>
    <col min="152" max="152" width="12.19921875" bestFit="1" customWidth="1"/>
    <col min="153" max="153" width="12.46484375" bestFit="1" customWidth="1"/>
    <col min="154" max="154" width="11.9296875" bestFit="1" customWidth="1"/>
    <col min="155" max="155" width="19.9296875" bestFit="1" customWidth="1"/>
    <col min="156" max="156" width="14.6640625" bestFit="1" customWidth="1"/>
    <col min="157" max="157" width="22.6640625" bestFit="1" customWidth="1"/>
    <col min="158" max="158" width="11.73046875" bestFit="1" customWidth="1"/>
    <col min="159" max="159" width="15.46484375" bestFit="1" customWidth="1"/>
    <col min="160" max="160" width="18.73046875" bestFit="1" customWidth="1"/>
    <col min="161" max="161" width="13.33203125" bestFit="1" customWidth="1"/>
    <col min="162" max="162" width="13.59765625" bestFit="1" customWidth="1"/>
    <col min="163" max="163" width="13.06640625" bestFit="1" customWidth="1"/>
    <col min="164" max="164" width="21.06640625" bestFit="1" customWidth="1"/>
    <col min="165" max="165" width="15.73046875" bestFit="1" customWidth="1"/>
    <col min="166" max="166" width="23.73046875" bestFit="1" customWidth="1"/>
    <col min="167" max="167" width="12.33203125" bestFit="1" customWidth="1"/>
    <col min="168" max="168" width="16.53125" bestFit="1" customWidth="1"/>
    <col min="169" max="169" width="19.796875" bestFit="1" customWidth="1"/>
  </cols>
  <sheetData>
    <row r="1" spans="1:169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  <c r="DC1" t="s">
        <v>205</v>
      </c>
      <c r="DD1" t="s">
        <v>206</v>
      </c>
      <c r="DE1" t="s">
        <v>207</v>
      </c>
      <c r="DF1" t="s">
        <v>208</v>
      </c>
      <c r="DG1" t="s">
        <v>209</v>
      </c>
      <c r="DH1" t="s">
        <v>210</v>
      </c>
      <c r="DI1" t="s">
        <v>211</v>
      </c>
      <c r="DJ1" t="s">
        <v>212</v>
      </c>
      <c r="DK1" t="s">
        <v>213</v>
      </c>
      <c r="DL1" t="s">
        <v>214</v>
      </c>
      <c r="DM1" t="s">
        <v>215</v>
      </c>
      <c r="DN1" t="s">
        <v>216</v>
      </c>
      <c r="DO1" t="s">
        <v>217</v>
      </c>
      <c r="DP1" t="s">
        <v>218</v>
      </c>
      <c r="DQ1" t="s">
        <v>219</v>
      </c>
      <c r="DR1" t="s">
        <v>220</v>
      </c>
      <c r="DS1" t="s">
        <v>221</v>
      </c>
      <c r="DT1" t="s">
        <v>222</v>
      </c>
      <c r="DU1" t="s">
        <v>223</v>
      </c>
      <c r="DV1" t="s">
        <v>224</v>
      </c>
      <c r="DW1" t="s">
        <v>225</v>
      </c>
      <c r="DX1" t="s">
        <v>226</v>
      </c>
      <c r="DY1" t="s">
        <v>227</v>
      </c>
      <c r="DZ1" t="s">
        <v>228</v>
      </c>
      <c r="EA1" t="s">
        <v>229</v>
      </c>
      <c r="EB1" t="s">
        <v>230</v>
      </c>
      <c r="EC1" t="s">
        <v>231</v>
      </c>
      <c r="ED1" t="s">
        <v>232</v>
      </c>
      <c r="EE1" t="s">
        <v>233</v>
      </c>
      <c r="EF1" t="s">
        <v>234</v>
      </c>
      <c r="EG1" t="s">
        <v>235</v>
      </c>
      <c r="EH1" t="s">
        <v>236</v>
      </c>
      <c r="EI1" t="s">
        <v>237</v>
      </c>
      <c r="EJ1" t="s">
        <v>238</v>
      </c>
      <c r="EK1" t="s">
        <v>239</v>
      </c>
      <c r="EL1" t="s">
        <v>240</v>
      </c>
      <c r="EM1" t="s">
        <v>241</v>
      </c>
      <c r="EN1" t="s">
        <v>242</v>
      </c>
      <c r="EO1" t="s">
        <v>243</v>
      </c>
      <c r="EP1" t="s">
        <v>244</v>
      </c>
      <c r="EQ1" t="s">
        <v>245</v>
      </c>
      <c r="ER1" t="s">
        <v>246</v>
      </c>
      <c r="ES1" t="s">
        <v>247</v>
      </c>
      <c r="ET1" t="s">
        <v>248</v>
      </c>
      <c r="EU1" t="s">
        <v>249</v>
      </c>
      <c r="EV1" t="s">
        <v>250</v>
      </c>
      <c r="EW1" t="s">
        <v>251</v>
      </c>
      <c r="EX1" t="s">
        <v>252</v>
      </c>
      <c r="EY1" t="s">
        <v>253</v>
      </c>
      <c r="EZ1" t="s">
        <v>254</v>
      </c>
      <c r="FA1" t="s">
        <v>255</v>
      </c>
      <c r="FB1" t="s">
        <v>256</v>
      </c>
      <c r="FC1" t="s">
        <v>257</v>
      </c>
      <c r="FD1" t="s">
        <v>258</v>
      </c>
      <c r="FE1" t="s">
        <v>259</v>
      </c>
      <c r="FF1" t="s">
        <v>260</v>
      </c>
      <c r="FG1" t="s">
        <v>261</v>
      </c>
      <c r="FH1" t="s">
        <v>262</v>
      </c>
      <c r="FI1" t="s">
        <v>263</v>
      </c>
      <c r="FJ1" t="s">
        <v>264</v>
      </c>
      <c r="FK1" t="s">
        <v>265</v>
      </c>
      <c r="FL1" t="s">
        <v>266</v>
      </c>
      <c r="FM1" t="s">
        <v>267</v>
      </c>
    </row>
    <row r="2" spans="1:169">
      <c r="A2">
        <v>59</v>
      </c>
      <c r="B2">
        <v>25.776648762606253</v>
      </c>
      <c r="C2">
        <v>25.823351237393737</v>
      </c>
      <c r="D2">
        <v>0.57766487626062601</v>
      </c>
      <c r="E2">
        <v>8.7664876260625996E-2</v>
      </c>
      <c r="F2">
        <v>8.7664876260626023</v>
      </c>
      <c r="G2">
        <v>1.055532975252125</v>
      </c>
      <c r="H2">
        <v>1.3</v>
      </c>
      <c r="I2">
        <v>0.82225360147888604</v>
      </c>
      <c r="J2">
        <v>0.82225360147888604</v>
      </c>
      <c r="K2">
        <v>0.5029356451376148</v>
      </c>
      <c r="L2">
        <v>0.48992443247858158</v>
      </c>
      <c r="M2">
        <v>0.5029356451376148</v>
      </c>
      <c r="N2">
        <v>34.371460097084487</v>
      </c>
      <c r="O2">
        <v>36.196738238438535</v>
      </c>
      <c r="P2">
        <v>20.33595275810513</v>
      </c>
      <c r="Q2">
        <v>1.4198817390701279</v>
      </c>
      <c r="R2">
        <v>0.465742234820612</v>
      </c>
      <c r="S2">
        <v>24.801751338905401</v>
      </c>
      <c r="T2">
        <v>143.5596687057789</v>
      </c>
      <c r="U2">
        <v>-24.071231228203629</v>
      </c>
      <c r="V2">
        <v>-31.292787618509134</v>
      </c>
      <c r="W2">
        <v>4.0513862663514999</v>
      </c>
      <c r="X2">
        <v>-12.622849521384923</v>
      </c>
      <c r="Y2">
        <v>-49.818595891458394</v>
      </c>
      <c r="Z2">
        <v>34.700953576578144</v>
      </c>
      <c r="AA2">
        <v>36.546571926084333</v>
      </c>
      <c r="AB2">
        <v>0.51610012827817719</v>
      </c>
      <c r="AC2">
        <v>0.51610012827817719</v>
      </c>
      <c r="AD2">
        <v>0.86592857004726831</v>
      </c>
      <c r="AE2">
        <v>0.86592857004726831</v>
      </c>
      <c r="AF2">
        <v>22.972650411220847</v>
      </c>
      <c r="AG2">
        <v>34.488579923704741</v>
      </c>
      <c r="AH2">
        <v>33.902648313987122</v>
      </c>
      <c r="AI2">
        <v>34.545581778629874</v>
      </c>
      <c r="AJ2">
        <v>36.273039912108118</v>
      </c>
      <c r="AK2">
        <v>0.57094809073598585</v>
      </c>
      <c r="AL2">
        <v>0.57094809073598585</v>
      </c>
      <c r="AM2">
        <v>1.2191679342839128</v>
      </c>
      <c r="AN2">
        <v>1.2191679342839128</v>
      </c>
      <c r="AO2">
        <v>24.334209598501641</v>
      </c>
      <c r="AP2">
        <v>34.358031359740245</v>
      </c>
      <c r="AQ2">
        <v>34.334590710262546</v>
      </c>
      <c r="AR2">
        <v>34.394951416869219</v>
      </c>
      <c r="AS2">
        <v>36.254004360567848</v>
      </c>
      <c r="AT2">
        <v>0.61068460282809811</v>
      </c>
      <c r="AU2">
        <v>0.61068460282809811</v>
      </c>
      <c r="AV2">
        <v>0.9303193478060604</v>
      </c>
      <c r="AW2">
        <v>0.9303193478060604</v>
      </c>
      <c r="AX2">
        <v>24.509386653390528</v>
      </c>
      <c r="AY2">
        <v>34.216924908082262</v>
      </c>
      <c r="AZ2">
        <v>34.379318429332947</v>
      </c>
      <c r="BA2">
        <v>34.754848365738866</v>
      </c>
      <c r="BB2">
        <v>37.716098479711988</v>
      </c>
      <c r="BC2">
        <v>0.49246528581470977</v>
      </c>
      <c r="BD2">
        <v>0.49246528581470977</v>
      </c>
      <c r="BE2">
        <v>2.0862051991304607</v>
      </c>
      <c r="BF2">
        <v>2.0862051991304607</v>
      </c>
      <c r="BG2">
        <v>24.047337336932927</v>
      </c>
      <c r="BH2">
        <v>34.550916662485712</v>
      </c>
      <c r="BI2">
        <v>34.551184467971574</v>
      </c>
      <c r="BJ2">
        <v>34.01507179002931</v>
      </c>
      <c r="BK2">
        <v>35.915070652104063</v>
      </c>
      <c r="BL2">
        <v>0.42263680094477157</v>
      </c>
      <c r="BM2">
        <v>0.42263680094477157</v>
      </c>
      <c r="BN2">
        <v>1.8461635865099133</v>
      </c>
      <c r="BO2">
        <v>1.8461635865099133</v>
      </c>
      <c r="BP2">
        <v>25.531880589941476</v>
      </c>
      <c r="BQ2">
        <v>33.839595077811687</v>
      </c>
      <c r="BR2">
        <v>33.723483134396794</v>
      </c>
      <c r="BS2">
        <v>34.015989261668267</v>
      </c>
      <c r="BT2">
        <v>35.914554149038977</v>
      </c>
      <c r="BU2">
        <v>0.42593987323788468</v>
      </c>
      <c r="BV2">
        <v>0.42593987323788468</v>
      </c>
      <c r="BW2">
        <v>1.8408147308266904</v>
      </c>
      <c r="BX2">
        <v>1.8408147308266904</v>
      </c>
      <c r="BY2">
        <v>25.62885417822045</v>
      </c>
      <c r="BZ2">
        <v>33.838064423217766</v>
      </c>
      <c r="CA2">
        <v>33.723483134396794</v>
      </c>
      <c r="CB2">
        <v>33.22825522946053</v>
      </c>
      <c r="CC2">
        <v>35.097768836548624</v>
      </c>
      <c r="CD2">
        <v>0.49039889540834508</v>
      </c>
      <c r="CE2">
        <v>0.49039889540834508</v>
      </c>
      <c r="CF2">
        <v>2.9957082604561598</v>
      </c>
      <c r="CG2">
        <v>2.9957082604561598</v>
      </c>
      <c r="CH2">
        <v>25.317588200629409</v>
      </c>
      <c r="CI2">
        <v>33.02940269977617</v>
      </c>
      <c r="CJ2">
        <v>32.898792279634215</v>
      </c>
      <c r="CK2">
        <v>33.227690959485763</v>
      </c>
      <c r="CL2">
        <v>35.096116472853765</v>
      </c>
      <c r="CM2">
        <v>0.49447871806404819</v>
      </c>
      <c r="CN2">
        <v>0.49447871806404819</v>
      </c>
      <c r="CO2">
        <v>2.9884370245778884</v>
      </c>
      <c r="CP2">
        <v>2.9884370245778884</v>
      </c>
      <c r="CQ2">
        <v>25.419899624385017</v>
      </c>
      <c r="CR2">
        <v>33.02601498120972</v>
      </c>
      <c r="CS2">
        <v>32.898792279634215</v>
      </c>
      <c r="CT2">
        <v>35.082598700805939</v>
      </c>
      <c r="CU2">
        <v>35.265377787417499</v>
      </c>
      <c r="CV2">
        <v>0.37599269321615258</v>
      </c>
      <c r="CW2">
        <v>0.37599269321615258</v>
      </c>
      <c r="CX2">
        <v>1.1703797286636928</v>
      </c>
      <c r="CY2">
        <v>1.1703797286636928</v>
      </c>
      <c r="CZ2">
        <v>23.713346825344608</v>
      </c>
      <c r="DA2">
        <v>34.875247935396757</v>
      </c>
      <c r="DB2">
        <v>34.102549353086189</v>
      </c>
      <c r="DC2">
        <v>35.082744857379772</v>
      </c>
      <c r="DD2">
        <v>35.264129802068403</v>
      </c>
      <c r="DE2">
        <v>0.37734944942683191</v>
      </c>
      <c r="DF2">
        <v>0.37734944942683191</v>
      </c>
      <c r="DG2">
        <v>1.1682228784752449</v>
      </c>
      <c r="DH2">
        <v>1.1682228784752449</v>
      </c>
      <c r="DI2">
        <v>23.842431443436727</v>
      </c>
      <c r="DJ2">
        <v>34.873733564229966</v>
      </c>
      <c r="DK2">
        <v>34.102549353086189</v>
      </c>
      <c r="DL2">
        <v>34.72876511258616</v>
      </c>
      <c r="DM2">
        <v>36.663370425661462</v>
      </c>
      <c r="DN2">
        <v>0.4723830970914657</v>
      </c>
      <c r="DO2">
        <v>0.4723830970914657</v>
      </c>
      <c r="DP2">
        <v>1.395430032056951</v>
      </c>
      <c r="DQ2">
        <v>1.395430032056951</v>
      </c>
      <c r="DR2">
        <v>24.636162531059899</v>
      </c>
      <c r="DS2">
        <v>34.575692539989873</v>
      </c>
      <c r="DT2">
        <v>34.04578332065087</v>
      </c>
      <c r="DU2">
        <v>34.729348949734103</v>
      </c>
      <c r="DV2">
        <v>36.663215826064828</v>
      </c>
      <c r="DW2">
        <v>0.47516421675441789</v>
      </c>
      <c r="DX2">
        <v>0.47516421675441789</v>
      </c>
      <c r="DY2">
        <v>1.390442405768586</v>
      </c>
      <c r="DZ2">
        <v>1.390442405768586</v>
      </c>
      <c r="EA2">
        <v>24.748799846284559</v>
      </c>
      <c r="EB2">
        <v>34.574753877758752</v>
      </c>
      <c r="EC2">
        <v>34.04578332065087</v>
      </c>
      <c r="ED2">
        <v>33.499031332245394</v>
      </c>
      <c r="EE2">
        <v>36.213975983668966</v>
      </c>
      <c r="EF2">
        <v>0.5744358113972452</v>
      </c>
      <c r="EG2">
        <v>0.5744358113972452</v>
      </c>
      <c r="EH2">
        <v>0.80437896375685081</v>
      </c>
      <c r="EI2">
        <v>0.80437896375685081</v>
      </c>
      <c r="EJ2">
        <v>26.277787342077858</v>
      </c>
      <c r="EK2">
        <v>33.272684413382564</v>
      </c>
      <c r="EL2">
        <v>32.723766382725302</v>
      </c>
      <c r="EM2">
        <v>33.500674607583029</v>
      </c>
      <c r="EN2">
        <v>36.213573686237453</v>
      </c>
      <c r="EO2">
        <v>0.57967056459592481</v>
      </c>
      <c r="EP2">
        <v>0.57967056459592481</v>
      </c>
      <c r="EQ2">
        <v>0.7964532706325389</v>
      </c>
      <c r="ER2">
        <v>0.7964532706325389</v>
      </c>
      <c r="ES2">
        <v>26.378927925392155</v>
      </c>
      <c r="ET2">
        <v>33.271170087833262</v>
      </c>
      <c r="EU2">
        <v>32.723766382725302</v>
      </c>
      <c r="EV2">
        <v>34.555865538449204</v>
      </c>
      <c r="EW2">
        <v>34.986023200251879</v>
      </c>
      <c r="EX2">
        <v>0.46238222449097099</v>
      </c>
      <c r="EY2">
        <v>0.46238222449097099</v>
      </c>
      <c r="EZ2">
        <v>1.3618933227588248</v>
      </c>
      <c r="FA2">
        <v>1.3618933227588248</v>
      </c>
      <c r="FB2">
        <v>24.331816261645201</v>
      </c>
      <c r="FC2">
        <v>34.344739057076325</v>
      </c>
      <c r="FD2">
        <v>33.66098787719973</v>
      </c>
      <c r="FE2">
        <v>34.548273733700967</v>
      </c>
      <c r="FF2">
        <v>34.985525459280126</v>
      </c>
      <c r="FG2">
        <v>0.45341072228456131</v>
      </c>
      <c r="FH2">
        <v>0.45341072228456131</v>
      </c>
      <c r="FI2">
        <v>1.3775037284219289</v>
      </c>
      <c r="FJ2">
        <v>1.3775037284219289</v>
      </c>
      <c r="FK2">
        <v>24.093808045697639</v>
      </c>
      <c r="FL2">
        <v>34.344185709721877</v>
      </c>
      <c r="FM2">
        <v>33.66098787719973</v>
      </c>
    </row>
    <row r="3" spans="1:169">
      <c r="A3">
        <v>119</v>
      </c>
      <c r="B3">
        <v>25.776648762606253</v>
      </c>
      <c r="C3">
        <v>25.823351237393737</v>
      </c>
      <c r="D3">
        <v>0.57766487626062601</v>
      </c>
      <c r="E3">
        <v>8.7664876260625996E-2</v>
      </c>
      <c r="F3">
        <v>8.7664876260626023</v>
      </c>
      <c r="G3">
        <v>1.055532975252125</v>
      </c>
      <c r="H3">
        <v>1.3</v>
      </c>
      <c r="I3">
        <v>0.77716182094572306</v>
      </c>
      <c r="J3">
        <v>0.77716182094572306</v>
      </c>
      <c r="K3">
        <v>0.5253119763409082</v>
      </c>
      <c r="L3">
        <v>0.51469332347455843</v>
      </c>
      <c r="M3">
        <v>0.5253119763409082</v>
      </c>
      <c r="N3">
        <v>34.464787525656931</v>
      </c>
      <c r="O3">
        <v>36.177466264404053</v>
      </c>
      <c r="P3">
        <v>20.33595275810513</v>
      </c>
      <c r="Q3">
        <v>1.4198817390701279</v>
      </c>
      <c r="R3">
        <v>0.465742234820612</v>
      </c>
      <c r="S3">
        <v>24.7845653947278</v>
      </c>
      <c r="T3">
        <v>143.5596687057789</v>
      </c>
      <c r="U3">
        <v>-24.31246091548627</v>
      </c>
      <c r="V3">
        <v>-31.607048483928427</v>
      </c>
      <c r="W3">
        <v>4.0513862663514999</v>
      </c>
      <c r="X3">
        <v>-12.612617213677501</v>
      </c>
      <c r="Y3">
        <v>-50.437926635677805</v>
      </c>
      <c r="Z3">
        <v>34.776190379604586</v>
      </c>
      <c r="AA3">
        <v>36.540130406914749</v>
      </c>
      <c r="AB3">
        <v>0.56755078313562901</v>
      </c>
      <c r="AC3">
        <v>0.56755078313562901</v>
      </c>
      <c r="AD3">
        <v>0.76935567193290177</v>
      </c>
      <c r="AE3">
        <v>0.76935567193290177</v>
      </c>
      <c r="AF3">
        <v>22.946042507947809</v>
      </c>
      <c r="AG3">
        <v>34.488579923704741</v>
      </c>
      <c r="AH3">
        <v>33.902648313987122</v>
      </c>
      <c r="AI3">
        <v>34.63615570431962</v>
      </c>
      <c r="AJ3">
        <v>36.260139312294797</v>
      </c>
      <c r="AK3">
        <v>0.62863938749071613</v>
      </c>
      <c r="AL3">
        <v>0.62863938749071613</v>
      </c>
      <c r="AM3">
        <v>1.1223624993391732</v>
      </c>
      <c r="AN3">
        <v>1.1223624993391732</v>
      </c>
      <c r="AO3">
        <v>24.314253755355519</v>
      </c>
      <c r="AP3">
        <v>34.358031359740245</v>
      </c>
      <c r="AQ3">
        <v>34.334590710262546</v>
      </c>
      <c r="AR3">
        <v>34.485104983425309</v>
      </c>
      <c r="AS3">
        <v>36.236933555904336</v>
      </c>
      <c r="AT3">
        <v>0.65248808364447264</v>
      </c>
      <c r="AU3">
        <v>0.65248808364447264</v>
      </c>
      <c r="AV3">
        <v>0.8516796507719302</v>
      </c>
      <c r="AW3">
        <v>0.8516796507719302</v>
      </c>
      <c r="AX3">
        <v>24.489496808445018</v>
      </c>
      <c r="AY3">
        <v>34.216924908082262</v>
      </c>
      <c r="AZ3">
        <v>34.379318429332947</v>
      </c>
      <c r="BA3">
        <v>34.870203965393117</v>
      </c>
      <c r="BB3">
        <v>37.716735845694323</v>
      </c>
      <c r="BC3">
        <v>0.50899584958464095</v>
      </c>
      <c r="BD3">
        <v>0.50899584958464095</v>
      </c>
      <c r="BE3">
        <v>2.0615185464233359</v>
      </c>
      <c r="BF3">
        <v>2.0615185464233359</v>
      </c>
      <c r="BG3">
        <v>24.015915040764082</v>
      </c>
      <c r="BH3">
        <v>34.550916662485712</v>
      </c>
      <c r="BI3">
        <v>34.551184467971574</v>
      </c>
      <c r="BJ3">
        <v>34.073338521243947</v>
      </c>
      <c r="BK3">
        <v>35.915536846778664</v>
      </c>
      <c r="BL3">
        <v>0.42993896210556309</v>
      </c>
      <c r="BM3">
        <v>0.42993896210556309</v>
      </c>
      <c r="BN3">
        <v>1.8223043829641803</v>
      </c>
      <c r="BO3">
        <v>1.8223043829641803</v>
      </c>
      <c r="BP3">
        <v>25.526513813261587</v>
      </c>
      <c r="BQ3">
        <v>33.839595077811687</v>
      </c>
      <c r="BR3">
        <v>33.723483134396794</v>
      </c>
      <c r="BS3">
        <v>34.075451217832715</v>
      </c>
      <c r="BT3">
        <v>35.915021270170342</v>
      </c>
      <c r="BU3">
        <v>0.43310806189694873</v>
      </c>
      <c r="BV3">
        <v>0.43310806189694873</v>
      </c>
      <c r="BW3">
        <v>1.8171492844461321</v>
      </c>
      <c r="BX3">
        <v>1.8171492844461321</v>
      </c>
      <c r="BY3">
        <v>25.62357218192701</v>
      </c>
      <c r="BZ3">
        <v>33.838064423217766</v>
      </c>
      <c r="CA3">
        <v>33.723483134396794</v>
      </c>
      <c r="CB3">
        <v>33.30637347716992</v>
      </c>
      <c r="CC3">
        <v>35.098386382970496</v>
      </c>
      <c r="CD3">
        <v>0.53600900733956625</v>
      </c>
      <c r="CE3">
        <v>0.53600900733956625</v>
      </c>
      <c r="CF3">
        <v>2.9417900720719921</v>
      </c>
      <c r="CG3">
        <v>2.9417900720719921</v>
      </c>
      <c r="CH3">
        <v>25.305796415188954</v>
      </c>
      <c r="CI3">
        <v>33.02940269977617</v>
      </c>
      <c r="CJ3">
        <v>32.898792279634215</v>
      </c>
      <c r="CK3">
        <v>33.307241815208464</v>
      </c>
      <c r="CL3">
        <v>35.096734396216227</v>
      </c>
      <c r="CM3">
        <v>0.54062154084374292</v>
      </c>
      <c r="CN3">
        <v>0.54062154084374292</v>
      </c>
      <c r="CO3">
        <v>2.9331806338744912</v>
      </c>
      <c r="CP3">
        <v>2.9331806338744912</v>
      </c>
      <c r="CQ3">
        <v>25.408206029883782</v>
      </c>
      <c r="CR3">
        <v>33.02601498120972</v>
      </c>
      <c r="CS3">
        <v>32.898792279634215</v>
      </c>
      <c r="CT3">
        <v>35.149241347341828</v>
      </c>
      <c r="CU3">
        <v>35.282217235593514</v>
      </c>
      <c r="CV3">
        <v>0.41194789979734109</v>
      </c>
      <c r="CW3">
        <v>0.41194789979734109</v>
      </c>
      <c r="CX3">
        <v>1.0990840253263257</v>
      </c>
      <c r="CY3">
        <v>1.0990840253263257</v>
      </c>
      <c r="CZ3">
        <v>23.692120744217164</v>
      </c>
      <c r="DA3">
        <v>34.875247935396757</v>
      </c>
      <c r="DB3">
        <v>34.102549353086189</v>
      </c>
      <c r="DC3">
        <v>35.150112220139945</v>
      </c>
      <c r="DD3">
        <v>35.281095750807843</v>
      </c>
      <c r="DE3">
        <v>0.41359100050472758</v>
      </c>
      <c r="DF3">
        <v>0.41359100050472758</v>
      </c>
      <c r="DG3">
        <v>1.0965218856666512</v>
      </c>
      <c r="DH3">
        <v>1.0965218856666512</v>
      </c>
      <c r="DI3">
        <v>23.821385729633185</v>
      </c>
      <c r="DJ3">
        <v>34.873733564229966</v>
      </c>
      <c r="DK3">
        <v>34.102549353086189</v>
      </c>
      <c r="DL3">
        <v>34.795354050785335</v>
      </c>
      <c r="DM3">
        <v>36.664319369350203</v>
      </c>
      <c r="DN3">
        <v>0.4504034507235492</v>
      </c>
      <c r="DO3">
        <v>0.4504034507235492</v>
      </c>
      <c r="DP3">
        <v>1.434820426649883</v>
      </c>
      <c r="DQ3">
        <v>1.434820426649883</v>
      </c>
      <c r="DR3">
        <v>24.619733758734029</v>
      </c>
      <c r="DS3">
        <v>34.575692539989873</v>
      </c>
      <c r="DT3">
        <v>34.04578332065087</v>
      </c>
      <c r="DU3">
        <v>34.796750262247961</v>
      </c>
      <c r="DV3">
        <v>36.664164740136698</v>
      </c>
      <c r="DW3">
        <v>0.45281360973111567</v>
      </c>
      <c r="DX3">
        <v>0.45281360973111567</v>
      </c>
      <c r="DY3">
        <v>1.430504883547695</v>
      </c>
      <c r="DZ3">
        <v>1.430504883547695</v>
      </c>
      <c r="EA3">
        <v>24.732486365015266</v>
      </c>
      <c r="EB3">
        <v>34.574753877758752</v>
      </c>
      <c r="EC3">
        <v>34.04578332065087</v>
      </c>
      <c r="ED3">
        <v>33.607234761229684</v>
      </c>
      <c r="EE3">
        <v>36.215082870978485</v>
      </c>
      <c r="EF3">
        <v>0.57633339577305565</v>
      </c>
      <c r="EG3">
        <v>0.57633339577305565</v>
      </c>
      <c r="EH3">
        <v>0.78483561934698809</v>
      </c>
      <c r="EI3">
        <v>0.78483561934698809</v>
      </c>
      <c r="EJ3">
        <v>26.270137904372724</v>
      </c>
      <c r="EK3">
        <v>33.272684413382564</v>
      </c>
      <c r="EL3">
        <v>32.723766382725302</v>
      </c>
      <c r="EM3">
        <v>33.61060584421498</v>
      </c>
      <c r="EN3">
        <v>36.214680799337721</v>
      </c>
      <c r="EO3">
        <v>0.58134932533277128</v>
      </c>
      <c r="EP3">
        <v>0.58134932533277128</v>
      </c>
      <c r="EQ3">
        <v>0.77729417155727965</v>
      </c>
      <c r="ER3">
        <v>0.77729417155727965</v>
      </c>
      <c r="ES3">
        <v>26.37151396522469</v>
      </c>
      <c r="ET3">
        <v>33.271170087833262</v>
      </c>
      <c r="EU3">
        <v>32.723766382725302</v>
      </c>
      <c r="EV3">
        <v>34.649025338208219</v>
      </c>
      <c r="EW3">
        <v>34.995278843868903</v>
      </c>
      <c r="EX3">
        <v>0.45465449142806408</v>
      </c>
      <c r="EY3">
        <v>0.45465449142806408</v>
      </c>
      <c r="EZ3">
        <v>1.3676296447894349</v>
      </c>
      <c r="FA3">
        <v>1.3676296447894349</v>
      </c>
      <c r="FB3">
        <v>24.301809838569504</v>
      </c>
      <c r="FC3">
        <v>34.344739057076325</v>
      </c>
      <c r="FD3">
        <v>33.66098787719973</v>
      </c>
      <c r="FE3">
        <v>34.637727588975316</v>
      </c>
      <c r="FF3">
        <v>34.994499498983785</v>
      </c>
      <c r="FG3">
        <v>0.44608870550753371</v>
      </c>
      <c r="FH3">
        <v>0.44608870550753371</v>
      </c>
      <c r="FI3">
        <v>1.3825162332980734</v>
      </c>
      <c r="FJ3">
        <v>1.3825162332980734</v>
      </c>
      <c r="FK3">
        <v>24.062054508785764</v>
      </c>
      <c r="FL3">
        <v>34.344185709721877</v>
      </c>
      <c r="FM3">
        <v>33.66098787719973</v>
      </c>
    </row>
    <row r="4" spans="1:169">
      <c r="A4">
        <v>179</v>
      </c>
      <c r="B4">
        <v>25.776648762606253</v>
      </c>
      <c r="C4">
        <v>25.823351237393737</v>
      </c>
      <c r="D4">
        <v>0.57766487626062601</v>
      </c>
      <c r="E4">
        <v>8.7664876260625996E-2</v>
      </c>
      <c r="F4">
        <v>8.7664876260626023</v>
      </c>
      <c r="G4">
        <v>1.055532975252125</v>
      </c>
      <c r="H4">
        <v>1.3</v>
      </c>
      <c r="I4">
        <v>0.72595684843913444</v>
      </c>
      <c r="J4">
        <v>0.72595684843913444</v>
      </c>
      <c r="K4">
        <v>0.54705299989387945</v>
      </c>
      <c r="L4">
        <v>0.54022722233706244</v>
      </c>
      <c r="M4">
        <v>0.54705299989387945</v>
      </c>
      <c r="N4">
        <v>34.528233832871123</v>
      </c>
      <c r="O4">
        <v>36.178874608370123</v>
      </c>
      <c r="P4">
        <v>20.33595275810513</v>
      </c>
      <c r="Q4">
        <v>1.4198817390701279</v>
      </c>
      <c r="R4">
        <v>0.465742234820612</v>
      </c>
      <c r="S4">
        <v>24.773283783714561</v>
      </c>
      <c r="T4">
        <v>143.5596687057789</v>
      </c>
      <c r="U4">
        <v>-24.476179144863483</v>
      </c>
      <c r="V4">
        <v>-31.818829200101977</v>
      </c>
      <c r="W4">
        <v>4.0513862663514999</v>
      </c>
      <c r="X4">
        <v>-12.604874961732328</v>
      </c>
      <c r="Y4">
        <v>-50.514973307364762</v>
      </c>
      <c r="Z4">
        <v>34.818918155457176</v>
      </c>
      <c r="AA4">
        <v>36.534325285389322</v>
      </c>
      <c r="AB4">
        <v>0.60480145760280024</v>
      </c>
      <c r="AC4">
        <v>0.60480145760280024</v>
      </c>
      <c r="AD4">
        <v>0.70175697617744048</v>
      </c>
      <c r="AE4">
        <v>0.70175697617744048</v>
      </c>
      <c r="AF4">
        <v>22.930978792320083</v>
      </c>
      <c r="AG4">
        <v>34.488579923704741</v>
      </c>
      <c r="AH4">
        <v>33.902648313987122</v>
      </c>
      <c r="AI4">
        <v>34.689855999439068</v>
      </c>
      <c r="AJ4">
        <v>36.250503349736668</v>
      </c>
      <c r="AK4">
        <v>0.66940408131072182</v>
      </c>
      <c r="AL4">
        <v>0.66940408131072182</v>
      </c>
      <c r="AM4">
        <v>1.0543643475591391</v>
      </c>
      <c r="AN4">
        <v>1.0543643475591391</v>
      </c>
      <c r="AO4">
        <v>24.30243647355671</v>
      </c>
      <c r="AP4">
        <v>34.358031359740245</v>
      </c>
      <c r="AQ4">
        <v>34.334590710262546</v>
      </c>
      <c r="AR4">
        <v>34.541572044885172</v>
      </c>
      <c r="AS4">
        <v>36.225351589362674</v>
      </c>
      <c r="AT4">
        <v>0.68704644034683415</v>
      </c>
      <c r="AU4">
        <v>0.68704644034683415</v>
      </c>
      <c r="AV4">
        <v>0.78597939871369626</v>
      </c>
      <c r="AW4">
        <v>0.78597939871369626</v>
      </c>
      <c r="AX4">
        <v>24.477054544596129</v>
      </c>
      <c r="AY4">
        <v>34.216924908082262</v>
      </c>
      <c r="AZ4">
        <v>34.379318429332947</v>
      </c>
      <c r="BA4">
        <v>34.945265403218208</v>
      </c>
      <c r="BB4">
        <v>37.71706938939387</v>
      </c>
      <c r="BC4">
        <v>0.52384104208167415</v>
      </c>
      <c r="BD4">
        <v>0.52384104208167415</v>
      </c>
      <c r="BE4">
        <v>2.0388617648670797</v>
      </c>
      <c r="BF4">
        <v>2.0388617648670797</v>
      </c>
      <c r="BG4">
        <v>23.99547926626256</v>
      </c>
      <c r="BH4">
        <v>34.550916662485712</v>
      </c>
      <c r="BI4">
        <v>34.551184467971574</v>
      </c>
      <c r="BJ4">
        <v>34.114758462950483</v>
      </c>
      <c r="BK4">
        <v>35.916072220054687</v>
      </c>
      <c r="BL4">
        <v>0.44707705030420181</v>
      </c>
      <c r="BM4">
        <v>0.44707705030420181</v>
      </c>
      <c r="BN4">
        <v>1.7826554519566331</v>
      </c>
      <c r="BO4">
        <v>1.7826554519566331</v>
      </c>
      <c r="BP4">
        <v>25.522711144499247</v>
      </c>
      <c r="BQ4">
        <v>33.839595077811687</v>
      </c>
      <c r="BR4">
        <v>33.723483134396794</v>
      </c>
      <c r="BS4">
        <v>34.117692530840245</v>
      </c>
      <c r="BT4">
        <v>35.915559665901903</v>
      </c>
      <c r="BU4">
        <v>0.45028136187133061</v>
      </c>
      <c r="BV4">
        <v>0.45028136187133061</v>
      </c>
      <c r="BW4">
        <v>1.7774069618112642</v>
      </c>
      <c r="BX4">
        <v>1.7774069618112642</v>
      </c>
      <c r="BY4">
        <v>25.61983198537466</v>
      </c>
      <c r="BZ4">
        <v>33.838064423217766</v>
      </c>
      <c r="CA4">
        <v>33.723483134396794</v>
      </c>
      <c r="CB4">
        <v>33.363807628503778</v>
      </c>
      <c r="CC4">
        <v>35.09918597634794</v>
      </c>
      <c r="CD4">
        <v>0.57856549755152997</v>
      </c>
      <c r="CE4">
        <v>0.57856549755152997</v>
      </c>
      <c r="CF4">
        <v>2.8888493224161871</v>
      </c>
      <c r="CG4">
        <v>2.8888493224161871</v>
      </c>
      <c r="CH4">
        <v>25.297148348516661</v>
      </c>
      <c r="CI4">
        <v>33.02940269977617</v>
      </c>
      <c r="CJ4">
        <v>32.898792279634215</v>
      </c>
      <c r="CK4">
        <v>33.365698596649835</v>
      </c>
      <c r="CL4">
        <v>35.097537977983677</v>
      </c>
      <c r="CM4">
        <v>0.58366094292532456</v>
      </c>
      <c r="CN4">
        <v>0.58366094292532456</v>
      </c>
      <c r="CO4">
        <v>2.879037444914879</v>
      </c>
      <c r="CP4">
        <v>2.879037444914879</v>
      </c>
      <c r="CQ4">
        <v>25.399634361608896</v>
      </c>
      <c r="CR4">
        <v>33.02601498120972</v>
      </c>
      <c r="CS4">
        <v>32.898792279634215</v>
      </c>
      <c r="CT4">
        <v>35.190684551306113</v>
      </c>
      <c r="CU4">
        <v>35.30676237527674</v>
      </c>
      <c r="CV4">
        <v>0.43974089040852909</v>
      </c>
      <c r="CW4">
        <v>0.43974089040852909</v>
      </c>
      <c r="CX4">
        <v>1.0423942093384655</v>
      </c>
      <c r="CY4">
        <v>1.0423942093384655</v>
      </c>
      <c r="CZ4">
        <v>23.67897062308624</v>
      </c>
      <c r="DA4">
        <v>34.875247935396757</v>
      </c>
      <c r="DB4">
        <v>34.102549353086189</v>
      </c>
      <c r="DC4">
        <v>35.192017260645578</v>
      </c>
      <c r="DD4">
        <v>35.305849493458737</v>
      </c>
      <c r="DE4">
        <v>0.4415885058807052</v>
      </c>
      <c r="DF4">
        <v>0.4415885058807052</v>
      </c>
      <c r="DG4">
        <v>1.0395568306545191</v>
      </c>
      <c r="DH4">
        <v>1.0395568306545191</v>
      </c>
      <c r="DI4">
        <v>23.808343646896251</v>
      </c>
      <c r="DJ4">
        <v>34.873733564229966</v>
      </c>
      <c r="DK4">
        <v>34.102549353086189</v>
      </c>
      <c r="DL4">
        <v>34.842306412063159</v>
      </c>
      <c r="DM4">
        <v>36.665256170343334</v>
      </c>
      <c r="DN4">
        <v>0.45114146885246109</v>
      </c>
      <c r="DO4">
        <v>0.45114146885246109</v>
      </c>
      <c r="DP4">
        <v>1.4334990929934499</v>
      </c>
      <c r="DQ4">
        <v>1.4334990929934499</v>
      </c>
      <c r="DR4">
        <v>24.6081785666344</v>
      </c>
      <c r="DS4">
        <v>34.575692539989873</v>
      </c>
      <c r="DT4">
        <v>34.04578332065087</v>
      </c>
      <c r="DU4">
        <v>34.844281175247197</v>
      </c>
      <c r="DV4">
        <v>36.665101764891972</v>
      </c>
      <c r="DW4">
        <v>0.45340550406576119</v>
      </c>
      <c r="DX4">
        <v>0.45340550406576119</v>
      </c>
      <c r="DY4">
        <v>1.4294448707297529</v>
      </c>
      <c r="DZ4">
        <v>1.4294448707297529</v>
      </c>
      <c r="EA4">
        <v>24.721010745722491</v>
      </c>
      <c r="EB4">
        <v>34.574753877758752</v>
      </c>
      <c r="EC4">
        <v>34.04578332065087</v>
      </c>
      <c r="ED4">
        <v>33.68842334638034</v>
      </c>
      <c r="EE4">
        <v>36.216244295665845</v>
      </c>
      <c r="EF4">
        <v>0.5944223762644274</v>
      </c>
      <c r="EG4">
        <v>0.5944223762644274</v>
      </c>
      <c r="EH4">
        <v>0.74181720429182274</v>
      </c>
      <c r="EI4">
        <v>0.74181720429182274</v>
      </c>
      <c r="EJ4">
        <v>26.264409399292084</v>
      </c>
      <c r="EK4">
        <v>33.272684413382564</v>
      </c>
      <c r="EL4">
        <v>32.723766382725302</v>
      </c>
      <c r="EM4">
        <v>33.693073235133454</v>
      </c>
      <c r="EN4">
        <v>36.215843700112117</v>
      </c>
      <c r="EO4">
        <v>0.59947861870638786</v>
      </c>
      <c r="EP4">
        <v>0.59947861870638786</v>
      </c>
      <c r="EQ4">
        <v>0.73429636484813976</v>
      </c>
      <c r="ER4">
        <v>0.73429636484813976</v>
      </c>
      <c r="ES4">
        <v>26.365962954661413</v>
      </c>
      <c r="ET4">
        <v>33.271170087833262</v>
      </c>
      <c r="EU4">
        <v>32.723766382725302</v>
      </c>
      <c r="EV4">
        <v>34.712839652757005</v>
      </c>
      <c r="EW4">
        <v>35.011192210306369</v>
      </c>
      <c r="EX4">
        <v>0.4621089715783504</v>
      </c>
      <c r="EY4">
        <v>0.4621089715783504</v>
      </c>
      <c r="EZ4">
        <v>1.3473298658069377</v>
      </c>
      <c r="FA4">
        <v>1.3473298658069377</v>
      </c>
      <c r="FB4">
        <v>24.281301593418444</v>
      </c>
      <c r="FC4">
        <v>34.344739057076325</v>
      </c>
      <c r="FD4">
        <v>33.66098787719973</v>
      </c>
      <c r="FE4">
        <v>34.698891524680818</v>
      </c>
      <c r="FF4">
        <v>35.009872326775188</v>
      </c>
      <c r="FG4">
        <v>0.45353123546282997</v>
      </c>
      <c r="FH4">
        <v>0.45353123546282997</v>
      </c>
      <c r="FI4">
        <v>1.3621464638342884</v>
      </c>
      <c r="FJ4">
        <v>1.3621464638342884</v>
      </c>
      <c r="FK4">
        <v>24.040392513946014</v>
      </c>
      <c r="FL4">
        <v>34.344185709721877</v>
      </c>
      <c r="FM4">
        <v>33.66098787719973</v>
      </c>
    </row>
    <row r="5" spans="1:169">
      <c r="A5">
        <v>239</v>
      </c>
      <c r="B5">
        <v>25.776648762606253</v>
      </c>
      <c r="C5">
        <v>25.823351237393737</v>
      </c>
      <c r="D5">
        <v>0.57766487626062601</v>
      </c>
      <c r="E5">
        <v>8.7664876260625996E-2</v>
      </c>
      <c r="F5">
        <v>8.7664876260626023</v>
      </c>
      <c r="G5">
        <v>1.055532975252125</v>
      </c>
      <c r="H5">
        <v>1.3</v>
      </c>
      <c r="I5">
        <v>0.68087392953001513</v>
      </c>
      <c r="J5">
        <v>0.68087392953001513</v>
      </c>
      <c r="K5">
        <v>0.56762608625644029</v>
      </c>
      <c r="L5">
        <v>0.56201261354254106</v>
      </c>
      <c r="M5">
        <v>0.56762608625644029</v>
      </c>
      <c r="N5">
        <v>34.574799479185003</v>
      </c>
      <c r="O5">
        <v>36.18217941263336</v>
      </c>
      <c r="P5">
        <v>20.33595275810513</v>
      </c>
      <c r="Q5">
        <v>1.4198817390701279</v>
      </c>
      <c r="R5">
        <v>0.465742234820612</v>
      </c>
      <c r="S5">
        <v>24.765111094550527</v>
      </c>
      <c r="T5">
        <v>143.5596687057789</v>
      </c>
      <c r="U5">
        <v>-24.59828657988216</v>
      </c>
      <c r="V5">
        <v>-31.975501519142227</v>
      </c>
      <c r="W5">
        <v>4.0513862663514999</v>
      </c>
      <c r="X5">
        <v>-12.60093004837921</v>
      </c>
      <c r="Y5">
        <v>-50.719922440934042</v>
      </c>
      <c r="Z5">
        <v>34.847149338132368</v>
      </c>
      <c r="AA5">
        <v>36.531002966309259</v>
      </c>
      <c r="AB5">
        <v>0.63307757576903878</v>
      </c>
      <c r="AC5">
        <v>0.63307757576903878</v>
      </c>
      <c r="AD5">
        <v>0.65153534578132621</v>
      </c>
      <c r="AE5">
        <v>0.65153534578132621</v>
      </c>
      <c r="AF5">
        <v>22.921047142660807</v>
      </c>
      <c r="AG5">
        <v>34.488579923704741</v>
      </c>
      <c r="AH5">
        <v>33.902648313987122</v>
      </c>
      <c r="AI5">
        <v>34.725028943806009</v>
      </c>
      <c r="AJ5">
        <v>36.245612512000335</v>
      </c>
      <c r="AK5">
        <v>0.70221653379237026</v>
      </c>
      <c r="AL5">
        <v>0.70221653379237026</v>
      </c>
      <c r="AM5">
        <v>0.99994944358119475</v>
      </c>
      <c r="AN5">
        <v>0.99994944358119475</v>
      </c>
      <c r="AO5">
        <v>24.294712013165729</v>
      </c>
      <c r="AP5">
        <v>34.358031359740245</v>
      </c>
      <c r="AQ5">
        <v>34.334590710262546</v>
      </c>
      <c r="AR5">
        <v>34.580441240958265</v>
      </c>
      <c r="AS5">
        <v>36.219915869060621</v>
      </c>
      <c r="AT5">
        <v>0.71838315981736045</v>
      </c>
      <c r="AU5">
        <v>0.71838315981736045</v>
      </c>
      <c r="AV5">
        <v>0.72680413517829145</v>
      </c>
      <c r="AW5">
        <v>0.72680413517829145</v>
      </c>
      <c r="AX5">
        <v>24.468505345760093</v>
      </c>
      <c r="AY5">
        <v>34.216924908082262</v>
      </c>
      <c r="AZ5">
        <v>34.379318429332947</v>
      </c>
      <c r="BA5">
        <v>34.996373064531191</v>
      </c>
      <c r="BB5">
        <v>37.717526330558421</v>
      </c>
      <c r="BC5">
        <v>0.53823185770219562</v>
      </c>
      <c r="BD5">
        <v>0.53823185770219562</v>
      </c>
      <c r="BE5">
        <v>2.0164999495744973</v>
      </c>
      <c r="BF5">
        <v>2.0164999495744973</v>
      </c>
      <c r="BG5">
        <v>23.981578306374551</v>
      </c>
      <c r="BH5">
        <v>34.550916662485712</v>
      </c>
      <c r="BI5">
        <v>34.551184467971574</v>
      </c>
      <c r="BJ5">
        <v>34.146723373318686</v>
      </c>
      <c r="BK5">
        <v>35.916817747048434</v>
      </c>
      <c r="BL5">
        <v>0.46111068664835608</v>
      </c>
      <c r="BM5">
        <v>0.46111068664835608</v>
      </c>
      <c r="BN5">
        <v>1.7485745895605129</v>
      </c>
      <c r="BO5">
        <v>1.7485745895605129</v>
      </c>
      <c r="BP5">
        <v>25.51977740762208</v>
      </c>
      <c r="BQ5">
        <v>33.839595077811687</v>
      </c>
      <c r="BR5">
        <v>33.723483134396794</v>
      </c>
      <c r="BS5">
        <v>34.150270121610255</v>
      </c>
      <c r="BT5">
        <v>35.916311250822815</v>
      </c>
      <c r="BU5">
        <v>0.46438987173367069</v>
      </c>
      <c r="BV5">
        <v>0.46438987173367069</v>
      </c>
      <c r="BW5">
        <v>1.7431812341258228</v>
      </c>
      <c r="BX5">
        <v>1.7431812341258228</v>
      </c>
      <c r="BY5">
        <v>25.616948358623297</v>
      </c>
      <c r="BZ5">
        <v>33.838064423217766</v>
      </c>
      <c r="CA5">
        <v>33.723483134396794</v>
      </c>
      <c r="CB5">
        <v>33.409044493386006</v>
      </c>
      <c r="CC5">
        <v>35.100329136042987</v>
      </c>
      <c r="CD5">
        <v>0.61285232351884211</v>
      </c>
      <c r="CE5">
        <v>0.61285232351884211</v>
      </c>
      <c r="CF5">
        <v>2.847895055891482</v>
      </c>
      <c r="CG5">
        <v>2.847895055891482</v>
      </c>
      <c r="CH5">
        <v>25.290339473868212</v>
      </c>
      <c r="CI5">
        <v>33.02940269977617</v>
      </c>
      <c r="CJ5">
        <v>32.898792279634215</v>
      </c>
      <c r="CK5">
        <v>33.411722177419612</v>
      </c>
      <c r="CL5">
        <v>35.09869032241383</v>
      </c>
      <c r="CM5">
        <v>0.618353280212534</v>
      </c>
      <c r="CN5">
        <v>0.618353280212534</v>
      </c>
      <c r="CO5">
        <v>2.8370920480641235</v>
      </c>
      <c r="CP5">
        <v>2.8370920480641235</v>
      </c>
      <c r="CQ5">
        <v>25.392888439207265</v>
      </c>
      <c r="CR5">
        <v>33.02601498120972</v>
      </c>
      <c r="CS5">
        <v>32.898792279634215</v>
      </c>
      <c r="CT5">
        <v>35.220349792666227</v>
      </c>
      <c r="CU5">
        <v>35.334932035703943</v>
      </c>
      <c r="CV5">
        <v>0.46128750416724701</v>
      </c>
      <c r="CW5">
        <v>0.46128750416724701</v>
      </c>
      <c r="CX5">
        <v>0.99699789569351216</v>
      </c>
      <c r="CY5">
        <v>0.99699789569351216</v>
      </c>
      <c r="CZ5">
        <v>23.669571781070964</v>
      </c>
      <c r="DA5">
        <v>34.875247935396757</v>
      </c>
      <c r="DB5">
        <v>34.102549353086189</v>
      </c>
      <c r="DC5">
        <v>35.222004461394775</v>
      </c>
      <c r="DD5">
        <v>35.334272476221265</v>
      </c>
      <c r="DE5">
        <v>0.4632847837702454</v>
      </c>
      <c r="DF5">
        <v>0.4632847837702454</v>
      </c>
      <c r="DG5">
        <v>0.99396763048654524</v>
      </c>
      <c r="DH5">
        <v>0.99396763048654524</v>
      </c>
      <c r="DI5">
        <v>23.79902465599012</v>
      </c>
      <c r="DJ5">
        <v>34.873733564229966</v>
      </c>
      <c r="DK5">
        <v>34.102549353086189</v>
      </c>
      <c r="DL5">
        <v>34.878802659695104</v>
      </c>
      <c r="DM5">
        <v>36.666224866108593</v>
      </c>
      <c r="DN5">
        <v>0.45669737616380512</v>
      </c>
      <c r="DO5">
        <v>0.45669737616380512</v>
      </c>
      <c r="DP5">
        <v>1.423548274870168</v>
      </c>
      <c r="DQ5">
        <v>1.423548274870168</v>
      </c>
      <c r="DR5">
        <v>24.599206026408304</v>
      </c>
      <c r="DS5">
        <v>34.575692539989873</v>
      </c>
      <c r="DT5">
        <v>34.04578332065087</v>
      </c>
      <c r="DU5">
        <v>34.881221580520652</v>
      </c>
      <c r="DV5">
        <v>36.666071082639753</v>
      </c>
      <c r="DW5">
        <v>0.45890588825602968</v>
      </c>
      <c r="DX5">
        <v>0.45890588825602968</v>
      </c>
      <c r="DY5">
        <v>1.4195911799728751</v>
      </c>
      <c r="DZ5">
        <v>1.4195911799728751</v>
      </c>
      <c r="EA5">
        <v>24.712101324925623</v>
      </c>
      <c r="EB5">
        <v>34.574753877758752</v>
      </c>
      <c r="EC5">
        <v>34.04578332065087</v>
      </c>
      <c r="ED5">
        <v>33.753763215634208</v>
      </c>
      <c r="EE5">
        <v>36.217518193801467</v>
      </c>
      <c r="EF5">
        <v>0.61310427510888266</v>
      </c>
      <c r="EG5">
        <v>0.61310427510888266</v>
      </c>
      <c r="EH5">
        <v>0.69935444493812349</v>
      </c>
      <c r="EI5">
        <v>0.69935444493812349</v>
      </c>
      <c r="EJ5">
        <v>26.25980219685162</v>
      </c>
      <c r="EK5">
        <v>33.272684413382564</v>
      </c>
      <c r="EL5">
        <v>32.723766382725302</v>
      </c>
      <c r="EM5">
        <v>33.759427909074255</v>
      </c>
      <c r="EN5">
        <v>36.217121003323122</v>
      </c>
      <c r="EO5">
        <v>0.61828030164212455</v>
      </c>
      <c r="EP5">
        <v>0.61828030164212455</v>
      </c>
      <c r="EQ5">
        <v>0.69173199787059581</v>
      </c>
      <c r="ER5">
        <v>0.69173199787059581</v>
      </c>
      <c r="ES5">
        <v>26.361499483472411</v>
      </c>
      <c r="ET5">
        <v>33.271170087833262</v>
      </c>
      <c r="EU5">
        <v>32.723766382725302</v>
      </c>
      <c r="EV5">
        <v>34.760783889504964</v>
      </c>
      <c r="EW5">
        <v>35.03210041211549</v>
      </c>
      <c r="EX5">
        <v>0.47218838170597799</v>
      </c>
      <c r="EY5">
        <v>0.47218838170597799</v>
      </c>
      <c r="EZ5">
        <v>1.3231085854933284</v>
      </c>
      <c r="FA5">
        <v>1.3231085854933284</v>
      </c>
      <c r="FB5">
        <v>24.265910058062719</v>
      </c>
      <c r="FC5">
        <v>34.344739057076325</v>
      </c>
      <c r="FD5">
        <v>33.66098787719973</v>
      </c>
      <c r="FE5">
        <v>34.744821930362129</v>
      </c>
      <c r="FF5">
        <v>35.030037511127752</v>
      </c>
      <c r="FG5">
        <v>0.46348927239323379</v>
      </c>
      <c r="FH5">
        <v>0.46348927239323379</v>
      </c>
      <c r="FI5">
        <v>1.3380321978174514</v>
      </c>
      <c r="FJ5">
        <v>1.3380321978174514</v>
      </c>
      <c r="FK5">
        <v>24.024143336910782</v>
      </c>
      <c r="FL5">
        <v>34.344185709721877</v>
      </c>
      <c r="FM5">
        <v>33.66098787719973</v>
      </c>
    </row>
    <row r="6" spans="1:169">
      <c r="A6">
        <v>299</v>
      </c>
      <c r="B6">
        <v>25.776648762606253</v>
      </c>
      <c r="C6">
        <v>25.823351237393737</v>
      </c>
      <c r="D6">
        <v>0.57766487626062601</v>
      </c>
      <c r="E6">
        <v>8.7664876260625996E-2</v>
      </c>
      <c r="F6">
        <v>8.7664876260626023</v>
      </c>
      <c r="G6">
        <v>1.055532975252125</v>
      </c>
      <c r="H6">
        <v>1.3</v>
      </c>
      <c r="I6">
        <v>0.6412564048249445</v>
      </c>
      <c r="J6">
        <v>0.6412564048249445</v>
      </c>
      <c r="K6">
        <v>0.58733949690810683</v>
      </c>
      <c r="L6">
        <v>0.58105730179554271</v>
      </c>
      <c r="M6">
        <v>0.58733949690810683</v>
      </c>
      <c r="N6">
        <v>34.61081304376011</v>
      </c>
      <c r="O6">
        <v>36.185583436665972</v>
      </c>
      <c r="P6">
        <v>20.33595275810513</v>
      </c>
      <c r="Q6">
        <v>1.4198817390701279</v>
      </c>
      <c r="R6">
        <v>0.465742234820612</v>
      </c>
      <c r="S6">
        <v>24.758775947553733</v>
      </c>
      <c r="T6">
        <v>143.5596687057789</v>
      </c>
      <c r="U6">
        <v>-24.694353225365901</v>
      </c>
      <c r="V6">
        <v>-32.098207786750962</v>
      </c>
      <c r="W6">
        <v>4.0513862663514999</v>
      </c>
      <c r="X6">
        <v>-12.599522558883306</v>
      </c>
      <c r="Y6">
        <v>-51.10714954718577</v>
      </c>
      <c r="Z6">
        <v>34.86807709835189</v>
      </c>
      <c r="AA6">
        <v>36.529666603896843</v>
      </c>
      <c r="AB6">
        <v>0.65666264396767193</v>
      </c>
      <c r="AC6">
        <v>0.65666264396767193</v>
      </c>
      <c r="AD6">
        <v>0.61036465526391703</v>
      </c>
      <c r="AE6">
        <v>0.61036465526391703</v>
      </c>
      <c r="AF6">
        <v>22.913697407463719</v>
      </c>
      <c r="AG6">
        <v>34.488579923704741</v>
      </c>
      <c r="AH6">
        <v>33.902648313987122</v>
      </c>
      <c r="AI6">
        <v>34.751361900308808</v>
      </c>
      <c r="AJ6">
        <v>36.243884903762925</v>
      </c>
      <c r="AK6">
        <v>0.7318879682361934</v>
      </c>
      <c r="AL6">
        <v>0.7318879682361934</v>
      </c>
      <c r="AM6">
        <v>0.95111166571018557</v>
      </c>
      <c r="AN6">
        <v>0.95111166571018557</v>
      </c>
      <c r="AO6">
        <v>24.288942217153007</v>
      </c>
      <c r="AP6">
        <v>34.358031359740245</v>
      </c>
      <c r="AQ6">
        <v>34.334590710262546</v>
      </c>
      <c r="AR6">
        <v>34.610392244544897</v>
      </c>
      <c r="AS6">
        <v>36.218252034916063</v>
      </c>
      <c r="AT6">
        <v>0.74863399363805128</v>
      </c>
      <c r="AU6">
        <v>0.74863399363805128</v>
      </c>
      <c r="AV6">
        <v>0.67048946052209835</v>
      </c>
      <c r="AW6">
        <v>0.67048946052209835</v>
      </c>
      <c r="AX6">
        <v>24.461929955732348</v>
      </c>
      <c r="AY6">
        <v>34.216924908082262</v>
      </c>
      <c r="AZ6">
        <v>34.379318429332947</v>
      </c>
      <c r="BA6">
        <v>35.033599750043493</v>
      </c>
      <c r="BB6">
        <v>37.718136993800371</v>
      </c>
      <c r="BC6">
        <v>0.55310256324617457</v>
      </c>
      <c r="BD6">
        <v>0.55310256324617457</v>
      </c>
      <c r="BE6">
        <v>1.9930186729317945</v>
      </c>
      <c r="BF6">
        <v>1.9930186729317945</v>
      </c>
      <c r="BG6">
        <v>23.971465631369316</v>
      </c>
      <c r="BH6">
        <v>34.550916662485712</v>
      </c>
      <c r="BI6">
        <v>34.551184467971574</v>
      </c>
      <c r="BJ6">
        <v>34.171272026107928</v>
      </c>
      <c r="BK6">
        <v>35.917814470653738</v>
      </c>
      <c r="BL6">
        <v>0.47213103629407221</v>
      </c>
      <c r="BM6">
        <v>0.47213103629407221</v>
      </c>
      <c r="BN6">
        <v>1.7198592378773787</v>
      </c>
      <c r="BO6">
        <v>1.7198592378773787</v>
      </c>
      <c r="BP6">
        <v>25.517523609324641</v>
      </c>
      <c r="BQ6">
        <v>33.839595077811687</v>
      </c>
      <c r="BR6">
        <v>33.723483134396794</v>
      </c>
      <c r="BS6">
        <v>34.175294698134877</v>
      </c>
      <c r="BT6">
        <v>35.917317681953648</v>
      </c>
      <c r="BU6">
        <v>0.4754864991051781</v>
      </c>
      <c r="BV6">
        <v>0.4754864991051781</v>
      </c>
      <c r="BW6">
        <v>1.7143278411179017</v>
      </c>
      <c r="BX6">
        <v>1.7143278411179017</v>
      </c>
      <c r="BY6">
        <v>25.614732612108806</v>
      </c>
      <c r="BZ6">
        <v>33.838064423217766</v>
      </c>
      <c r="CA6">
        <v>33.723483134396794</v>
      </c>
      <c r="CB6">
        <v>33.444882004768523</v>
      </c>
      <c r="CC6">
        <v>35.101880094036041</v>
      </c>
      <c r="CD6">
        <v>0.6404256777152928</v>
      </c>
      <c r="CE6">
        <v>0.6404256777152928</v>
      </c>
      <c r="CF6">
        <v>2.8176321039472003</v>
      </c>
      <c r="CG6">
        <v>2.8176321039472003</v>
      </c>
      <c r="CH6">
        <v>25.284944921552277</v>
      </c>
      <c r="CI6">
        <v>33.02940269977617</v>
      </c>
      <c r="CJ6">
        <v>32.898792279634215</v>
      </c>
      <c r="CK6">
        <v>33.448186850961271</v>
      </c>
      <c r="CL6">
        <v>35.10025669825238</v>
      </c>
      <c r="CM6">
        <v>0.64626093307506993</v>
      </c>
      <c r="CN6">
        <v>0.64626093307506993</v>
      </c>
      <c r="CO6">
        <v>2.8060180967706301</v>
      </c>
      <c r="CP6">
        <v>2.8060180967706301</v>
      </c>
      <c r="CQ6">
        <v>25.387543234724056</v>
      </c>
      <c r="CR6">
        <v>33.02601498120972</v>
      </c>
      <c r="CS6">
        <v>32.898792279634215</v>
      </c>
      <c r="CT6">
        <v>35.243143901817653</v>
      </c>
      <c r="CU6">
        <v>35.364066904175843</v>
      </c>
      <c r="CV6">
        <v>0.47924966734308722</v>
      </c>
      <c r="CW6">
        <v>0.47924966734308722</v>
      </c>
      <c r="CX6">
        <v>0.9582408848059798</v>
      </c>
      <c r="CY6">
        <v>0.9582408848059798</v>
      </c>
      <c r="CZ6">
        <v>23.662357010572386</v>
      </c>
      <c r="DA6">
        <v>34.875247935396757</v>
      </c>
      <c r="DB6">
        <v>34.102549353086189</v>
      </c>
      <c r="DC6">
        <v>35.245033061302074</v>
      </c>
      <c r="DD6">
        <v>35.363677304527968</v>
      </c>
      <c r="DE6">
        <v>0.48135851359156501</v>
      </c>
      <c r="DF6">
        <v>0.48135851359156501</v>
      </c>
      <c r="DG6">
        <v>0.95507368549004401</v>
      </c>
      <c r="DH6">
        <v>0.95507368549004401</v>
      </c>
      <c r="DI6">
        <v>23.7918751542637</v>
      </c>
      <c r="DJ6">
        <v>34.873733564229966</v>
      </c>
      <c r="DK6">
        <v>34.102549353086189</v>
      </c>
      <c r="DL6">
        <v>34.908422188173326</v>
      </c>
      <c r="DM6">
        <v>36.667241480863495</v>
      </c>
      <c r="DN6">
        <v>0.4635820779155026</v>
      </c>
      <c r="DO6">
        <v>0.4635820779155026</v>
      </c>
      <c r="DP6">
        <v>1.4112102200304999</v>
      </c>
      <c r="DQ6">
        <v>1.4112102200304999</v>
      </c>
      <c r="DR6">
        <v>24.591927588014364</v>
      </c>
      <c r="DS6">
        <v>34.575692539989873</v>
      </c>
      <c r="DT6">
        <v>34.04578332065087</v>
      </c>
      <c r="DU6">
        <v>34.911197199966232</v>
      </c>
      <c r="DV6">
        <v>36.66708883629191</v>
      </c>
      <c r="DW6">
        <v>0.46577009620133442</v>
      </c>
      <c r="DX6">
        <v>0.46577009620133442</v>
      </c>
      <c r="DY6">
        <v>1.4072877722931421</v>
      </c>
      <c r="DZ6">
        <v>1.4072877722931421</v>
      </c>
      <c r="EA6">
        <v>24.704875147065337</v>
      </c>
      <c r="EB6">
        <v>34.574753877758752</v>
      </c>
      <c r="EC6">
        <v>34.04578332065087</v>
      </c>
      <c r="ED6">
        <v>33.807626654923212</v>
      </c>
      <c r="EE6">
        <v>36.218944862095128</v>
      </c>
      <c r="EF6">
        <v>0.63004990082457413</v>
      </c>
      <c r="EG6">
        <v>0.63004990082457413</v>
      </c>
      <c r="EH6">
        <v>0.66057777247958427</v>
      </c>
      <c r="EI6">
        <v>0.66057777247958427</v>
      </c>
      <c r="EJ6">
        <v>26.25600502739519</v>
      </c>
      <c r="EK6">
        <v>33.272684413382564</v>
      </c>
      <c r="EL6">
        <v>32.723766382725302</v>
      </c>
      <c r="EM6">
        <v>33.81412710222466</v>
      </c>
      <c r="EN6">
        <v>36.218553540209761</v>
      </c>
      <c r="EO6">
        <v>0.6353599767208804</v>
      </c>
      <c r="EP6">
        <v>0.6353599767208804</v>
      </c>
      <c r="EQ6">
        <v>0.65282678673133221</v>
      </c>
      <c r="ER6">
        <v>0.65282678673133221</v>
      </c>
      <c r="ES6">
        <v>26.357820841331531</v>
      </c>
      <c r="ET6">
        <v>33.271170087833262</v>
      </c>
      <c r="EU6">
        <v>32.723766382725302</v>
      </c>
      <c r="EV6">
        <v>34.798635349222153</v>
      </c>
      <c r="EW6">
        <v>35.056203798339503</v>
      </c>
      <c r="EX6">
        <v>0.48288557514540997</v>
      </c>
      <c r="EY6">
        <v>0.48288557514540997</v>
      </c>
      <c r="EZ6">
        <v>1.2983518754107961</v>
      </c>
      <c r="FA6">
        <v>1.2983518754107961</v>
      </c>
      <c r="FB6">
        <v>24.253766508275039</v>
      </c>
      <c r="FC6">
        <v>34.344739057076325</v>
      </c>
      <c r="FD6">
        <v>33.66098787719973</v>
      </c>
      <c r="FE6">
        <v>34.781097630586558</v>
      </c>
      <c r="FF6">
        <v>35.053261265324856</v>
      </c>
      <c r="FG6">
        <v>0.47404954719623937</v>
      </c>
      <c r="FH6">
        <v>0.47404954719623937</v>
      </c>
      <c r="FI6">
        <v>1.3134053419991447</v>
      </c>
      <c r="FJ6">
        <v>1.3134053419991447</v>
      </c>
      <c r="FK6">
        <v>24.0113183054318</v>
      </c>
      <c r="FL6">
        <v>34.344185709721877</v>
      </c>
      <c r="FM6">
        <v>33.66098787719973</v>
      </c>
    </row>
    <row r="7" spans="1:169">
      <c r="A7">
        <v>359</v>
      </c>
      <c r="B7">
        <v>25.776648762606253</v>
      </c>
      <c r="C7">
        <v>25.823351237393737</v>
      </c>
      <c r="D7">
        <v>0.57766487626062601</v>
      </c>
      <c r="E7">
        <v>8.7664876260625996E-2</v>
      </c>
      <c r="F7">
        <v>8.7664876260626023</v>
      </c>
      <c r="G7">
        <v>1.055532975252125</v>
      </c>
      <c r="H7">
        <v>1.3</v>
      </c>
      <c r="I7">
        <v>0.6031318461796138</v>
      </c>
      <c r="J7">
        <v>0.6031318461796138</v>
      </c>
      <c r="K7">
        <v>0.60518739618588513</v>
      </c>
      <c r="L7">
        <v>0.59631600399182971</v>
      </c>
      <c r="M7">
        <v>0.60518739618588513</v>
      </c>
      <c r="N7">
        <v>34.639826390597534</v>
      </c>
      <c r="O7">
        <v>36.188830097174304</v>
      </c>
      <c r="P7">
        <v>20.33595275810513</v>
      </c>
      <c r="Q7">
        <v>1.4198817390701279</v>
      </c>
      <c r="R7">
        <v>0.465742234820612</v>
      </c>
      <c r="S7">
        <v>24.753611203953856</v>
      </c>
      <c r="T7">
        <v>143.5596687057789</v>
      </c>
      <c r="U7">
        <v>-24.772577537813227</v>
      </c>
      <c r="V7">
        <v>-32.198126660638174</v>
      </c>
      <c r="W7">
        <v>4.0513862663514999</v>
      </c>
      <c r="X7">
        <v>-12.599658726484028</v>
      </c>
      <c r="Y7">
        <v>-51.647679163315452</v>
      </c>
      <c r="Z7">
        <v>34.885026568496563</v>
      </c>
      <c r="AA7">
        <v>36.529749699704887</v>
      </c>
      <c r="AB7">
        <v>0.67765134644759417</v>
      </c>
      <c r="AC7">
        <v>0.67765134644759417</v>
      </c>
      <c r="AD7">
        <v>0.57446424212394409</v>
      </c>
      <c r="AE7">
        <v>0.57446424212394409</v>
      </c>
      <c r="AF7">
        <v>22.907752179068357</v>
      </c>
      <c r="AG7">
        <v>34.488579923704741</v>
      </c>
      <c r="AH7">
        <v>33.902648313987122</v>
      </c>
      <c r="AI7">
        <v>34.773747163204924</v>
      </c>
      <c r="AJ7">
        <v>36.244080428090591</v>
      </c>
      <c r="AK7">
        <v>0.76045431561271215</v>
      </c>
      <c r="AL7">
        <v>0.76045431561271215</v>
      </c>
      <c r="AM7">
        <v>0.90460293123411062</v>
      </c>
      <c r="AN7">
        <v>0.90460293123411062</v>
      </c>
      <c r="AO7">
        <v>24.284046422286281</v>
      </c>
      <c r="AP7">
        <v>34.358031359740245</v>
      </c>
      <c r="AQ7">
        <v>34.334590710262546</v>
      </c>
      <c r="AR7">
        <v>34.635929243573763</v>
      </c>
      <c r="AS7">
        <v>36.218711457974784</v>
      </c>
      <c r="AT7">
        <v>0.7784916606516008</v>
      </c>
      <c r="AU7">
        <v>0.7784916606516008</v>
      </c>
      <c r="AV7">
        <v>0.61637983636103999</v>
      </c>
      <c r="AW7">
        <v>0.61637983636103999</v>
      </c>
      <c r="AX7">
        <v>24.456331780711849</v>
      </c>
      <c r="AY7">
        <v>34.216924908082262</v>
      </c>
      <c r="AZ7">
        <v>34.379318429332947</v>
      </c>
      <c r="BA7">
        <v>35.062950058785212</v>
      </c>
      <c r="BB7">
        <v>37.718890539083198</v>
      </c>
      <c r="BC7">
        <v>0.56860415920690732</v>
      </c>
      <c r="BD7">
        <v>0.56860415920690732</v>
      </c>
      <c r="BE7">
        <v>1.9681759125407383</v>
      </c>
      <c r="BF7">
        <v>1.9681759125407383</v>
      </c>
      <c r="BG7">
        <v>23.96350319091901</v>
      </c>
      <c r="BH7">
        <v>34.550916662485712</v>
      </c>
      <c r="BI7">
        <v>34.551184467971574</v>
      </c>
      <c r="BJ7">
        <v>34.189613523823972</v>
      </c>
      <c r="BK7">
        <v>35.919078285257129</v>
      </c>
      <c r="BL7">
        <v>0.48095148813083011</v>
      </c>
      <c r="BM7">
        <v>0.48095148813083011</v>
      </c>
      <c r="BN7">
        <v>1.6957633420304667</v>
      </c>
      <c r="BO7">
        <v>1.6957633420304667</v>
      </c>
      <c r="BP7">
        <v>25.515838718590871</v>
      </c>
      <c r="BQ7">
        <v>33.839595077811687</v>
      </c>
      <c r="BR7">
        <v>33.723483134396794</v>
      </c>
      <c r="BS7">
        <v>34.194013381267695</v>
      </c>
      <c r="BT7">
        <v>35.918595181219622</v>
      </c>
      <c r="BU7">
        <v>0.4843749133780384</v>
      </c>
      <c r="BV7">
        <v>0.4843749133780384</v>
      </c>
      <c r="BW7">
        <v>1.6901132062795623</v>
      </c>
      <c r="BX7">
        <v>1.6901132062795623</v>
      </c>
      <c r="BY7">
        <v>25.613074282814683</v>
      </c>
      <c r="BZ7">
        <v>33.838064423217766</v>
      </c>
      <c r="CA7">
        <v>33.723483134396794</v>
      </c>
      <c r="CB7">
        <v>33.472994455104185</v>
      </c>
      <c r="CC7">
        <v>35.103868152091941</v>
      </c>
      <c r="CD7">
        <v>0.66276825290026897</v>
      </c>
      <c r="CE7">
        <v>0.66276825290026897</v>
      </c>
      <c r="CF7">
        <v>2.7946250952007707</v>
      </c>
      <c r="CG7">
        <v>2.7946250952007707</v>
      </c>
      <c r="CH7">
        <v>25.280712256657377</v>
      </c>
      <c r="CI7">
        <v>33.02940269977617</v>
      </c>
      <c r="CJ7">
        <v>32.898792279634215</v>
      </c>
      <c r="CK7">
        <v>33.476808725464579</v>
      </c>
      <c r="CL7">
        <v>35.102266968748239</v>
      </c>
      <c r="CM7">
        <v>0.66887976299887031</v>
      </c>
      <c r="CN7">
        <v>0.66887976299887031</v>
      </c>
      <c r="CO7">
        <v>2.7823445911896578</v>
      </c>
      <c r="CP7">
        <v>2.7823445911896578</v>
      </c>
      <c r="CQ7">
        <v>25.38334676610889</v>
      </c>
      <c r="CR7">
        <v>33.02601498120972</v>
      </c>
      <c r="CS7">
        <v>32.898792279634215</v>
      </c>
      <c r="CT7">
        <v>35.261590037120662</v>
      </c>
      <c r="CU7">
        <v>35.392663566068215</v>
      </c>
      <c r="CV7">
        <v>0.49507700082638267</v>
      </c>
      <c r="CW7">
        <v>0.49507700082638267</v>
      </c>
      <c r="CX7">
        <v>0.92428957558220137</v>
      </c>
      <c r="CY7">
        <v>0.92428957558220137</v>
      </c>
      <c r="CZ7">
        <v>23.656522901892082</v>
      </c>
      <c r="DA7">
        <v>34.875247935396757</v>
      </c>
      <c r="DB7">
        <v>34.102549353086189</v>
      </c>
      <c r="DC7">
        <v>35.263654273741899</v>
      </c>
      <c r="DD7">
        <v>35.392542889886371</v>
      </c>
      <c r="DE7">
        <v>0.49727023105372492</v>
      </c>
      <c r="DF7">
        <v>0.49727023105372492</v>
      </c>
      <c r="DG7">
        <v>0.9210235646191004</v>
      </c>
      <c r="DH7">
        <v>0.9210235646191004</v>
      </c>
      <c r="DI7">
        <v>23.78609836108825</v>
      </c>
      <c r="DJ7">
        <v>34.873733564229966</v>
      </c>
      <c r="DK7">
        <v>34.102549353086189</v>
      </c>
      <c r="DL7">
        <v>34.932926740669643</v>
      </c>
      <c r="DM7">
        <v>36.668316072675943</v>
      </c>
      <c r="DN7">
        <v>0.47074371367069512</v>
      </c>
      <c r="DO7">
        <v>0.47074371367069512</v>
      </c>
      <c r="DP7">
        <v>1.3983699008353909</v>
      </c>
      <c r="DQ7">
        <v>1.3983699008353909</v>
      </c>
      <c r="DR7">
        <v>24.585907256878759</v>
      </c>
      <c r="DS7">
        <v>34.575692539989873</v>
      </c>
      <c r="DT7">
        <v>34.04578332065087</v>
      </c>
      <c r="DU7">
        <v>34.935993443173963</v>
      </c>
      <c r="DV7">
        <v>36.668165171852877</v>
      </c>
      <c r="DW7">
        <v>0.47292381140044698</v>
      </c>
      <c r="DX7">
        <v>0.47292381140044698</v>
      </c>
      <c r="DY7">
        <v>1.3944603487310865</v>
      </c>
      <c r="DZ7">
        <v>1.3944603487310865</v>
      </c>
      <c r="EA7">
        <v>24.69889874623151</v>
      </c>
      <c r="EB7">
        <v>34.574753877758752</v>
      </c>
      <c r="EC7">
        <v>34.04578332065087</v>
      </c>
      <c r="ED7">
        <v>33.852316564162606</v>
      </c>
      <c r="EE7">
        <v>36.220552773483028</v>
      </c>
      <c r="EF7">
        <v>0.64500231669822394</v>
      </c>
      <c r="EG7">
        <v>0.64500231669822394</v>
      </c>
      <c r="EH7">
        <v>0.62642746205959954</v>
      </c>
      <c r="EI7">
        <v>0.62642746205959954</v>
      </c>
      <c r="EJ7">
        <v>26.252854650555083</v>
      </c>
      <c r="EK7">
        <v>33.272684413382564</v>
      </c>
      <c r="EL7">
        <v>32.723766382725302</v>
      </c>
      <c r="EM7">
        <v>33.859518293559958</v>
      </c>
      <c r="EN7">
        <v>36.220170163026346</v>
      </c>
      <c r="EO7">
        <v>0.65043877610838141</v>
      </c>
      <c r="EP7">
        <v>0.65043877610838141</v>
      </c>
      <c r="EQ7">
        <v>0.6185514600538573</v>
      </c>
      <c r="ER7">
        <v>0.6185514600538573</v>
      </c>
      <c r="ES7">
        <v>26.354768282334611</v>
      </c>
      <c r="ET7">
        <v>33.271170087833262</v>
      </c>
      <c r="EU7">
        <v>32.723766382725302</v>
      </c>
      <c r="EV7">
        <v>34.829508597482189</v>
      </c>
      <c r="EW7">
        <v>35.082089669948928</v>
      </c>
      <c r="EX7">
        <v>0.49369245210538532</v>
      </c>
      <c r="EY7">
        <v>0.49369245210538532</v>
      </c>
      <c r="EZ7">
        <v>1.2742471811329017</v>
      </c>
      <c r="FA7">
        <v>1.2742471811329017</v>
      </c>
      <c r="FB7">
        <v>24.243866278760184</v>
      </c>
      <c r="FC7">
        <v>34.344739057076325</v>
      </c>
      <c r="FD7">
        <v>33.66098787719973</v>
      </c>
      <c r="FE7">
        <v>34.810719876788227</v>
      </c>
      <c r="FF7">
        <v>35.078186418770422</v>
      </c>
      <c r="FG7">
        <v>0.4847309624284159</v>
      </c>
      <c r="FH7">
        <v>0.4847309624284159</v>
      </c>
      <c r="FI7">
        <v>1.2894129229284983</v>
      </c>
      <c r="FJ7">
        <v>1.2894129229284983</v>
      </c>
      <c r="FK7">
        <v>24.000850505577489</v>
      </c>
      <c r="FL7">
        <v>34.344185709721877</v>
      </c>
      <c r="FM7">
        <v>33.66098787719973</v>
      </c>
    </row>
    <row r="8" spans="1:169">
      <c r="A8">
        <v>419</v>
      </c>
      <c r="B8">
        <v>25.776648762606253</v>
      </c>
      <c r="C8">
        <v>25.823351237393737</v>
      </c>
      <c r="D8">
        <v>0.57766487626062601</v>
      </c>
      <c r="E8">
        <v>8.7664876260625996E-2</v>
      </c>
      <c r="F8">
        <v>8.7664876260626023</v>
      </c>
      <c r="G8">
        <v>1.055532975252125</v>
      </c>
      <c r="H8">
        <v>1.3</v>
      </c>
      <c r="I8">
        <v>0.5648270307822042</v>
      </c>
      <c r="J8">
        <v>0.5648270307822042</v>
      </c>
      <c r="K8">
        <v>0.62157121144411198</v>
      </c>
      <c r="L8">
        <v>0.61147583452926269</v>
      </c>
      <c r="M8">
        <v>0.62157121144411198</v>
      </c>
      <c r="N8">
        <v>34.663951929640355</v>
      </c>
      <c r="O8">
        <v>36.19185894698402</v>
      </c>
      <c r="P8">
        <v>20.33595275810513</v>
      </c>
      <c r="Q8">
        <v>1.4198817390701279</v>
      </c>
      <c r="R8">
        <v>0.465742234820612</v>
      </c>
      <c r="S8">
        <v>24.749245442252363</v>
      </c>
      <c r="T8">
        <v>143.5596687057789</v>
      </c>
      <c r="U8">
        <v>-24.837725203641973</v>
      </c>
      <c r="V8">
        <v>-32.281675691862681</v>
      </c>
      <c r="W8">
        <v>4.0513862663514999</v>
      </c>
      <c r="X8">
        <v>-12.600688313698823</v>
      </c>
      <c r="Y8">
        <v>-52.298569616026974</v>
      </c>
      <c r="Z8">
        <v>34.899593747811586</v>
      </c>
      <c r="AA8">
        <v>36.530801050295182</v>
      </c>
      <c r="AB8">
        <v>0.69693477448757513</v>
      </c>
      <c r="AC8">
        <v>0.69693477448757513</v>
      </c>
      <c r="AD8">
        <v>0.54207194435148209</v>
      </c>
      <c r="AE8">
        <v>0.54207194435148209</v>
      </c>
      <c r="AF8">
        <v>22.902646472750604</v>
      </c>
      <c r="AG8">
        <v>34.488579923704741</v>
      </c>
      <c r="AH8">
        <v>33.902648313987122</v>
      </c>
      <c r="AI8">
        <v>34.794508577656423</v>
      </c>
      <c r="AJ8">
        <v>36.245388008819887</v>
      </c>
      <c r="AK8">
        <v>0.78855799182353259</v>
      </c>
      <c r="AL8">
        <v>0.78855799182353259</v>
      </c>
      <c r="AM8">
        <v>0.85928041314497405</v>
      </c>
      <c r="AN8">
        <v>0.85928041314497405</v>
      </c>
      <c r="AO8">
        <v>24.279510637001309</v>
      </c>
      <c r="AP8">
        <v>34.358031359740245</v>
      </c>
      <c r="AQ8">
        <v>34.334590710262546</v>
      </c>
      <c r="AR8">
        <v>34.659286427201593</v>
      </c>
      <c r="AS8">
        <v>36.220301042480472</v>
      </c>
      <c r="AT8">
        <v>0.80797312297777957</v>
      </c>
      <c r="AU8">
        <v>0.80797312297777957</v>
      </c>
      <c r="AV8">
        <v>0.56412260837670236</v>
      </c>
      <c r="AW8">
        <v>0.56412260837670236</v>
      </c>
      <c r="AX8">
        <v>24.45121603176548</v>
      </c>
      <c r="AY8">
        <v>34.216924908082262</v>
      </c>
      <c r="AZ8">
        <v>34.379318429332947</v>
      </c>
      <c r="BA8">
        <v>35.087891957471442</v>
      </c>
      <c r="BB8">
        <v>37.719769722129058</v>
      </c>
      <c r="BC8">
        <v>0.58450942795303407</v>
      </c>
      <c r="BD8">
        <v>0.58450942795303407</v>
      </c>
      <c r="BE8">
        <v>1.9423383191219736</v>
      </c>
      <c r="BF8">
        <v>1.9423383191219736</v>
      </c>
      <c r="BG8">
        <v>23.956744367154045</v>
      </c>
      <c r="BH8">
        <v>34.550916662485712</v>
      </c>
      <c r="BI8">
        <v>34.551184467971574</v>
      </c>
      <c r="BJ8">
        <v>34.202755722194965</v>
      </c>
      <c r="BK8">
        <v>35.920610669017144</v>
      </c>
      <c r="BL8">
        <v>0.4881428820421938</v>
      </c>
      <c r="BM8">
        <v>0.4881428820421938</v>
      </c>
      <c r="BN8">
        <v>1.6751501630255268</v>
      </c>
      <c r="BO8">
        <v>1.6751501630255268</v>
      </c>
      <c r="BP8">
        <v>25.514630443281529</v>
      </c>
      <c r="BQ8">
        <v>33.839595077811687</v>
      </c>
      <c r="BR8">
        <v>33.723483134396794</v>
      </c>
      <c r="BS8">
        <v>34.207457959005907</v>
      </c>
      <c r="BT8">
        <v>35.920145333147666</v>
      </c>
      <c r="BU8">
        <v>0.49162477987684911</v>
      </c>
      <c r="BV8">
        <v>0.49162477987684911</v>
      </c>
      <c r="BW8">
        <v>1.66940049810325</v>
      </c>
      <c r="BX8">
        <v>1.66940049810325</v>
      </c>
      <c r="BY8">
        <v>25.611882238114489</v>
      </c>
      <c r="BZ8">
        <v>33.838064423217766</v>
      </c>
      <c r="CA8">
        <v>33.723483134396794</v>
      </c>
      <c r="CB8">
        <v>33.494698904212349</v>
      </c>
      <c r="CC8">
        <v>35.10629959570732</v>
      </c>
      <c r="CD8">
        <v>0.68094219923881472</v>
      </c>
      <c r="CE8">
        <v>0.68094219923881472</v>
      </c>
      <c r="CF8">
        <v>2.7776644061811755</v>
      </c>
      <c r="CG8">
        <v>2.7776644061811755</v>
      </c>
      <c r="CH8">
        <v>25.27744341194154</v>
      </c>
      <c r="CI8">
        <v>33.02940269977617</v>
      </c>
      <c r="CJ8">
        <v>32.898792279634215</v>
      </c>
      <c r="CK8">
        <v>33.498932201473131</v>
      </c>
      <c r="CL8">
        <v>35.104727616700458</v>
      </c>
      <c r="CM8">
        <v>0.68728442911054977</v>
      </c>
      <c r="CN8">
        <v>0.68728442911054977</v>
      </c>
      <c r="CO8">
        <v>2.7648283262088431</v>
      </c>
      <c r="CP8">
        <v>2.7648283262088431</v>
      </c>
      <c r="CQ8">
        <v>25.380102135980277</v>
      </c>
      <c r="CR8">
        <v>33.02601498120972</v>
      </c>
      <c r="CS8">
        <v>32.898792279634215</v>
      </c>
      <c r="CT8">
        <v>35.277125497820954</v>
      </c>
      <c r="CU8">
        <v>35.419938388632943</v>
      </c>
      <c r="CV8">
        <v>0.50945961171415943</v>
      </c>
      <c r="CW8">
        <v>0.50945961171415943</v>
      </c>
      <c r="CX8">
        <v>0.89371503563729271</v>
      </c>
      <c r="CY8">
        <v>0.89371503563729271</v>
      </c>
      <c r="CZ8">
        <v>23.651612197563921</v>
      </c>
      <c r="DA8">
        <v>34.875247935396757</v>
      </c>
      <c r="DB8">
        <v>34.102549353086189</v>
      </c>
      <c r="DC8">
        <v>35.279322591385906</v>
      </c>
      <c r="DD8">
        <v>35.420075273416487</v>
      </c>
      <c r="DE8">
        <v>0.51171735706646082</v>
      </c>
      <c r="DF8">
        <v>0.51171735706646082</v>
      </c>
      <c r="DG8">
        <v>0.89037746212297608</v>
      </c>
      <c r="DH8">
        <v>0.89037746212297608</v>
      </c>
      <c r="DI8">
        <v>23.781240417962515</v>
      </c>
      <c r="DJ8">
        <v>34.873733564229966</v>
      </c>
      <c r="DK8">
        <v>34.102549353086189</v>
      </c>
      <c r="DL8">
        <v>34.953347309876385</v>
      </c>
      <c r="DM8">
        <v>36.66945519006368</v>
      </c>
      <c r="DN8">
        <v>0.47777935191938381</v>
      </c>
      <c r="DO8">
        <v>0.47777935191938381</v>
      </c>
      <c r="DP8">
        <v>1.3857522193026557</v>
      </c>
      <c r="DQ8">
        <v>1.3857522193026557</v>
      </c>
      <c r="DR8">
        <v>24.580890598262961</v>
      </c>
      <c r="DS8">
        <v>34.575692539989873</v>
      </c>
      <c r="DT8">
        <v>34.04578332065087</v>
      </c>
      <c r="DU8">
        <v>34.956655065395253</v>
      </c>
      <c r="DV8">
        <v>36.669306696975561</v>
      </c>
      <c r="DW8">
        <v>0.47995535778907561</v>
      </c>
      <c r="DX8">
        <v>0.47995535778907561</v>
      </c>
      <c r="DY8">
        <v>1.3818495206851449</v>
      </c>
      <c r="DZ8">
        <v>1.3818495206851449</v>
      </c>
      <c r="EA8">
        <v>24.693919182994453</v>
      </c>
      <c r="EB8">
        <v>34.574753877758752</v>
      </c>
      <c r="EC8">
        <v>34.04578332065087</v>
      </c>
      <c r="ED8">
        <v>33.889360862563109</v>
      </c>
      <c r="EE8">
        <v>36.222360359006132</v>
      </c>
      <c r="EF8">
        <v>0.65810986206085476</v>
      </c>
      <c r="EG8">
        <v>0.65810986206085476</v>
      </c>
      <c r="EH8">
        <v>0.59627412688782933</v>
      </c>
      <c r="EI8">
        <v>0.59627412688782933</v>
      </c>
      <c r="EJ8">
        <v>26.250243119111747</v>
      </c>
      <c r="EK8">
        <v>33.272684413382564</v>
      </c>
      <c r="EL8">
        <v>32.723766382725302</v>
      </c>
      <c r="EM8">
        <v>33.897156716309517</v>
      </c>
      <c r="EN8">
        <v>36.221989543928089</v>
      </c>
      <c r="EO8">
        <v>0.66365912327197751</v>
      </c>
      <c r="EP8">
        <v>0.66365912327197751</v>
      </c>
      <c r="EQ8">
        <v>0.58828653961842803</v>
      </c>
      <c r="ER8">
        <v>0.58828653961842803</v>
      </c>
      <c r="ES8">
        <v>26.352236982553791</v>
      </c>
      <c r="ET8">
        <v>33.271170087833262</v>
      </c>
      <c r="EU8">
        <v>32.723766382725302</v>
      </c>
      <c r="EV8">
        <v>34.855308263110309</v>
      </c>
      <c r="EW8">
        <v>35.108743294106567</v>
      </c>
      <c r="EX8">
        <v>0.50436138366724359</v>
      </c>
      <c r="EY8">
        <v>0.50436138366724359</v>
      </c>
      <c r="EZ8">
        <v>1.2510544022294086</v>
      </c>
      <c r="FA8">
        <v>1.2510544022294086</v>
      </c>
      <c r="FB8">
        <v>24.235595976782943</v>
      </c>
      <c r="FC8">
        <v>34.344739057076325</v>
      </c>
      <c r="FD8">
        <v>33.66098787719973</v>
      </c>
      <c r="FE8">
        <v>34.835518430399823</v>
      </c>
      <c r="FF8">
        <v>35.103840764579019</v>
      </c>
      <c r="FG8">
        <v>0.49529168552462588</v>
      </c>
      <c r="FH8">
        <v>0.49529168552462588</v>
      </c>
      <c r="FI8">
        <v>1.2663063481466377</v>
      </c>
      <c r="FJ8">
        <v>1.2663063481466377</v>
      </c>
      <c r="FK8">
        <v>23.992090504916906</v>
      </c>
      <c r="FL8">
        <v>34.344185709721877</v>
      </c>
      <c r="FM8">
        <v>33.66098787719973</v>
      </c>
    </row>
    <row r="9" spans="1:169">
      <c r="A9">
        <v>479</v>
      </c>
      <c r="B9">
        <v>25.776648762606253</v>
      </c>
      <c r="C9">
        <v>25.823351237393737</v>
      </c>
      <c r="D9">
        <v>0.57766487626062601</v>
      </c>
      <c r="E9">
        <v>8.7664876260625996E-2</v>
      </c>
      <c r="F9">
        <v>8.7664876260626023</v>
      </c>
      <c r="G9">
        <v>1.055532975252125</v>
      </c>
      <c r="H9">
        <v>1.3</v>
      </c>
      <c r="I9">
        <v>0.52926427488945904</v>
      </c>
      <c r="J9">
        <v>0.52926427488945904</v>
      </c>
      <c r="K9">
        <v>0.63668164069849997</v>
      </c>
      <c r="L9">
        <v>0.62528821276729951</v>
      </c>
      <c r="M9">
        <v>0.63668164069849997</v>
      </c>
      <c r="N9">
        <v>34.684495077304902</v>
      </c>
      <c r="O9">
        <v>36.194664734395268</v>
      </c>
      <c r="P9">
        <v>20.33595275810513</v>
      </c>
      <c r="Q9">
        <v>1.4198817390701279</v>
      </c>
      <c r="R9">
        <v>0.465742234820612</v>
      </c>
      <c r="S9">
        <v>24.745462552054072</v>
      </c>
      <c r="T9">
        <v>143.5596687057789</v>
      </c>
      <c r="U9">
        <v>-24.89279343082897</v>
      </c>
      <c r="V9">
        <v>-32.352793489035683</v>
      </c>
      <c r="W9">
        <v>4.0513862663514999</v>
      </c>
      <c r="X9">
        <v>-12.602202738762854</v>
      </c>
      <c r="Y9">
        <v>-53.019242680210802</v>
      </c>
      <c r="Z9">
        <v>34.912551614821083</v>
      </c>
      <c r="AA9">
        <v>36.532483863756063</v>
      </c>
      <c r="AB9">
        <v>0.71485327670674348</v>
      </c>
      <c r="AC9">
        <v>0.71485327670674348</v>
      </c>
      <c r="AD9">
        <v>0.5124477197981343</v>
      </c>
      <c r="AE9">
        <v>0.5124477197981343</v>
      </c>
      <c r="AF9">
        <v>22.898106689682521</v>
      </c>
      <c r="AG9">
        <v>34.488579923704741</v>
      </c>
      <c r="AH9">
        <v>33.902648313987122</v>
      </c>
      <c r="AI9">
        <v>34.814634232411812</v>
      </c>
      <c r="AJ9">
        <v>36.247298124035389</v>
      </c>
      <c r="AK9">
        <v>0.81623118743560719</v>
      </c>
      <c r="AL9">
        <v>0.81623118743560719</v>
      </c>
      <c r="AM9">
        <v>0.81500786409154746</v>
      </c>
      <c r="AN9">
        <v>0.81500786409154746</v>
      </c>
      <c r="AO9">
        <v>24.275115756541798</v>
      </c>
      <c r="AP9">
        <v>34.358031359740245</v>
      </c>
      <c r="AQ9">
        <v>34.334590710262546</v>
      </c>
      <c r="AR9">
        <v>34.681495552059211</v>
      </c>
      <c r="AS9">
        <v>36.222443227017301</v>
      </c>
      <c r="AT9">
        <v>0.83685812584070218</v>
      </c>
      <c r="AU9">
        <v>0.83685812584070218</v>
      </c>
      <c r="AV9">
        <v>0.51385028951716527</v>
      </c>
      <c r="AW9">
        <v>0.51385028951716527</v>
      </c>
      <c r="AX9">
        <v>24.446353864083516</v>
      </c>
      <c r="AY9">
        <v>34.216924908082262</v>
      </c>
      <c r="AZ9">
        <v>34.379318429332947</v>
      </c>
      <c r="BA9">
        <v>35.110347717570285</v>
      </c>
      <c r="BB9">
        <v>37.720756674162857</v>
      </c>
      <c r="BC9">
        <v>0.6004886701886516</v>
      </c>
      <c r="BD9">
        <v>0.6004886701886516</v>
      </c>
      <c r="BE9">
        <v>1.9160638106608321</v>
      </c>
      <c r="BF9">
        <v>1.9160638106608321</v>
      </c>
      <c r="BG9">
        <v>23.950664040981447</v>
      </c>
      <c r="BH9">
        <v>34.550916662485712</v>
      </c>
      <c r="BI9">
        <v>34.551184467971574</v>
      </c>
      <c r="BJ9">
        <v>34.211607087603653</v>
      </c>
      <c r="BK9">
        <v>35.922403024906217</v>
      </c>
      <c r="BL9">
        <v>0.49407317266027828</v>
      </c>
      <c r="BM9">
        <v>0.49407317266027828</v>
      </c>
      <c r="BN9">
        <v>1.6573166739254288</v>
      </c>
      <c r="BO9">
        <v>1.6573166739254288</v>
      </c>
      <c r="BP9">
        <v>25.51381562100924</v>
      </c>
      <c r="BQ9">
        <v>33.839595077811687</v>
      </c>
      <c r="BR9">
        <v>33.723483134396794</v>
      </c>
      <c r="BS9">
        <v>34.216553788919498</v>
      </c>
      <c r="BT9">
        <v>35.921959486303699</v>
      </c>
      <c r="BU9">
        <v>0.49760516781927677</v>
      </c>
      <c r="BV9">
        <v>0.49760516781927677</v>
      </c>
      <c r="BW9">
        <v>1.6514836434072715</v>
      </c>
      <c r="BX9">
        <v>1.6514836434072715</v>
      </c>
      <c r="BY9">
        <v>25.611074777178302</v>
      </c>
      <c r="BZ9">
        <v>33.838064423217766</v>
      </c>
      <c r="CA9">
        <v>33.723483134396794</v>
      </c>
      <c r="CB9">
        <v>33.511122485204865</v>
      </c>
      <c r="CC9">
        <v>35.109164073461464</v>
      </c>
      <c r="CD9">
        <v>0.69572962225080204</v>
      </c>
      <c r="CE9">
        <v>0.69572962225080204</v>
      </c>
      <c r="CF9">
        <v>2.7656555726358945</v>
      </c>
      <c r="CG9">
        <v>2.7656555726358945</v>
      </c>
      <c r="CH9">
        <v>25.27496898538153</v>
      </c>
      <c r="CI9">
        <v>33.02940269977617</v>
      </c>
      <c r="CJ9">
        <v>32.898792279634215</v>
      </c>
      <c r="CK9">
        <v>33.515704183244118</v>
      </c>
      <c r="CL9">
        <v>35.107628223846007</v>
      </c>
      <c r="CM9">
        <v>0.70226721862414454</v>
      </c>
      <c r="CN9">
        <v>0.70226721862414454</v>
      </c>
      <c r="CO9">
        <v>2.7523491613003106</v>
      </c>
      <c r="CP9">
        <v>2.7523491613003106</v>
      </c>
      <c r="CQ9">
        <v>25.377641476893611</v>
      </c>
      <c r="CR9">
        <v>33.02601498120972</v>
      </c>
      <c r="CS9">
        <v>32.898792279634215</v>
      </c>
      <c r="CT9">
        <v>35.290597818000151</v>
      </c>
      <c r="CU9">
        <v>35.44552745004934</v>
      </c>
      <c r="CV9">
        <v>0.52271119983213143</v>
      </c>
      <c r="CW9">
        <v>0.52271119983213143</v>
      </c>
      <c r="CX9">
        <v>0.86583365962045922</v>
      </c>
      <c r="CY9">
        <v>0.86583365962045922</v>
      </c>
      <c r="CZ9">
        <v>23.64735538098077</v>
      </c>
      <c r="DA9">
        <v>34.875247935396757</v>
      </c>
      <c r="DB9">
        <v>34.102549353086189</v>
      </c>
      <c r="DC9">
        <v>35.292896870863707</v>
      </c>
      <c r="DD9">
        <v>35.445904917572598</v>
      </c>
      <c r="DE9">
        <v>0.52501863565550533</v>
      </c>
      <c r="DF9">
        <v>0.52501863565550533</v>
      </c>
      <c r="DG9">
        <v>0.86244426913464811</v>
      </c>
      <c r="DH9">
        <v>0.86244426913464811</v>
      </c>
      <c r="DI9">
        <v>23.777033444597151</v>
      </c>
      <c r="DJ9">
        <v>34.873733564229966</v>
      </c>
      <c r="DK9">
        <v>34.102549353086189</v>
      </c>
      <c r="DL9">
        <v>34.970391017675915</v>
      </c>
      <c r="DM9">
        <v>36.670662677593853</v>
      </c>
      <c r="DN9">
        <v>0.48451711931219771</v>
      </c>
      <c r="DO9">
        <v>0.48451711931219771</v>
      </c>
      <c r="DP9">
        <v>1.3736680253619402</v>
      </c>
      <c r="DQ9">
        <v>1.3736680253619402</v>
      </c>
      <c r="DR9">
        <v>24.576703521621891</v>
      </c>
      <c r="DS9">
        <v>34.575692539989873</v>
      </c>
      <c r="DT9">
        <v>34.04578332065087</v>
      </c>
      <c r="DU9">
        <v>34.973898403450463</v>
      </c>
      <c r="DV9">
        <v>36.670517290583085</v>
      </c>
      <c r="DW9">
        <v>0.48668972507194569</v>
      </c>
      <c r="DX9">
        <v>0.48668972507194569</v>
      </c>
      <c r="DY9">
        <v>1.3697716575354035</v>
      </c>
      <c r="DZ9">
        <v>1.3697716575354035</v>
      </c>
      <c r="EA9">
        <v>24.689763443757379</v>
      </c>
      <c r="EB9">
        <v>34.574753877758752</v>
      </c>
      <c r="EC9">
        <v>34.04578332065087</v>
      </c>
      <c r="ED9">
        <v>33.919945387363889</v>
      </c>
      <c r="EE9">
        <v>36.224377668368106</v>
      </c>
      <c r="EF9">
        <v>0.66958619736996061</v>
      </c>
      <c r="EG9">
        <v>0.66958619736996061</v>
      </c>
      <c r="EH9">
        <v>0.56957936460960679</v>
      </c>
      <c r="EI9">
        <v>0.56957936460960679</v>
      </c>
      <c r="EJ9">
        <v>26.248086814020212</v>
      </c>
      <c r="EK9">
        <v>33.272684413382564</v>
      </c>
      <c r="EL9">
        <v>32.723766382725302</v>
      </c>
      <c r="EM9">
        <v>33.928247357238106</v>
      </c>
      <c r="EN9">
        <v>36.224021859271012</v>
      </c>
      <c r="EO9">
        <v>0.67523441870983225</v>
      </c>
      <c r="EP9">
        <v>0.67523441870983225</v>
      </c>
      <c r="EQ9">
        <v>0.56149481535307766</v>
      </c>
      <c r="ER9">
        <v>0.56149481535307766</v>
      </c>
      <c r="ES9">
        <v>26.350145880399129</v>
      </c>
      <c r="ET9">
        <v>33.271170087833262</v>
      </c>
      <c r="EU9">
        <v>32.723766382725302</v>
      </c>
      <c r="EV9">
        <v>34.877290559525122</v>
      </c>
      <c r="EW9">
        <v>35.135463354313579</v>
      </c>
      <c r="EX9">
        <v>0.51471947791935335</v>
      </c>
      <c r="EY9">
        <v>0.51471947791935335</v>
      </c>
      <c r="EZ9">
        <v>1.2289728779705476</v>
      </c>
      <c r="FA9">
        <v>1.2289728779705476</v>
      </c>
      <c r="FB9">
        <v>24.228551433077048</v>
      </c>
      <c r="FC9">
        <v>34.344739057076325</v>
      </c>
      <c r="FD9">
        <v>33.66098787719973</v>
      </c>
      <c r="FE9">
        <v>34.856695317579643</v>
      </c>
      <c r="FF9">
        <v>35.129554215412071</v>
      </c>
      <c r="FG9">
        <v>0.50555813072778744</v>
      </c>
      <c r="FH9">
        <v>0.50555813072778744</v>
      </c>
      <c r="FI9">
        <v>1.2442874875545362</v>
      </c>
      <c r="FJ9">
        <v>1.2442874875545362</v>
      </c>
      <c r="FK9">
        <v>23.984612087045001</v>
      </c>
      <c r="FL9">
        <v>34.344185709721877</v>
      </c>
      <c r="FM9">
        <v>33.66098787719973</v>
      </c>
    </row>
    <row r="10" spans="1:169">
      <c r="A10">
        <v>539</v>
      </c>
      <c r="B10">
        <v>25.776648762606253</v>
      </c>
      <c r="C10">
        <v>25.823351237393737</v>
      </c>
      <c r="D10">
        <v>0.57766487626062601</v>
      </c>
      <c r="E10">
        <v>8.7664876260625996E-2</v>
      </c>
      <c r="F10">
        <v>8.7664876260626023</v>
      </c>
      <c r="G10">
        <v>1.055532975252125</v>
      </c>
      <c r="H10">
        <v>1.3</v>
      </c>
      <c r="I10">
        <v>0.49626585857706712</v>
      </c>
      <c r="J10">
        <v>0.49626585857706712</v>
      </c>
      <c r="K10">
        <v>0.65061961479903208</v>
      </c>
      <c r="L10">
        <v>0.63790213714225341</v>
      </c>
      <c r="M10">
        <v>0.65061961479903208</v>
      </c>
      <c r="N10">
        <v>34.702292678992421</v>
      </c>
      <c r="O10">
        <v>36.197265627279762</v>
      </c>
      <c r="P10">
        <v>20.33595275810513</v>
      </c>
      <c r="Q10">
        <v>1.4198817390701279</v>
      </c>
      <c r="R10">
        <v>0.465742234820612</v>
      </c>
      <c r="S10">
        <v>24.742130439277144</v>
      </c>
      <c r="T10">
        <v>143.5596687057789</v>
      </c>
      <c r="U10">
        <v>-24.939810245909168</v>
      </c>
      <c r="V10">
        <v>-32.41406461549338</v>
      </c>
      <c r="W10">
        <v>4.0513862663514999</v>
      </c>
      <c r="X10">
        <v>-12.603952884544707</v>
      </c>
      <c r="Y10">
        <v>-53.776564362457279</v>
      </c>
      <c r="Z10">
        <v>34.924281141099648</v>
      </c>
      <c r="AA10">
        <v>36.534555775771295</v>
      </c>
      <c r="AB10">
        <v>0.73152663934190088</v>
      </c>
      <c r="AC10">
        <v>0.73152663934190088</v>
      </c>
      <c r="AD10">
        <v>0.4852617190412522</v>
      </c>
      <c r="AE10">
        <v>0.4852617190412522</v>
      </c>
      <c r="AF10">
        <v>22.893998056209423</v>
      </c>
      <c r="AG10">
        <v>34.488579923704741</v>
      </c>
      <c r="AH10">
        <v>33.902648313987122</v>
      </c>
      <c r="AI10">
        <v>34.83445096762177</v>
      </c>
      <c r="AJ10">
        <v>36.249500271355892</v>
      </c>
      <c r="AK10">
        <v>0.8432915004824042</v>
      </c>
      <c r="AL10">
        <v>0.8432915004824042</v>
      </c>
      <c r="AM10">
        <v>0.77200316531446633</v>
      </c>
      <c r="AN10">
        <v>0.77200316531446633</v>
      </c>
      <c r="AO10">
        <v>24.270788811708719</v>
      </c>
      <c r="AP10">
        <v>34.358031359740245</v>
      </c>
      <c r="AQ10">
        <v>34.334590710262546</v>
      </c>
      <c r="AR10">
        <v>34.702975607074087</v>
      </c>
      <c r="AS10">
        <v>36.224812355864252</v>
      </c>
      <c r="AT10">
        <v>0.86489521129157154</v>
      </c>
      <c r="AU10">
        <v>0.86489521129157154</v>
      </c>
      <c r="AV10">
        <v>0.46579574173413563</v>
      </c>
      <c r="AW10">
        <v>0.46579574173413563</v>
      </c>
      <c r="AX10">
        <v>24.44165206904999</v>
      </c>
      <c r="AY10">
        <v>34.216924908082262</v>
      </c>
      <c r="AZ10">
        <v>34.379318429332947</v>
      </c>
      <c r="BA10">
        <v>35.131324536079404</v>
      </c>
      <c r="BB10">
        <v>37.721834851879123</v>
      </c>
      <c r="BC10">
        <v>0.61623925443148142</v>
      </c>
      <c r="BD10">
        <v>0.61623925443148142</v>
      </c>
      <c r="BE10">
        <v>1.8898889979617199</v>
      </c>
      <c r="BF10">
        <v>1.8898889979617199</v>
      </c>
      <c r="BG10">
        <v>23.944986765521929</v>
      </c>
      <c r="BH10">
        <v>34.550916662485712</v>
      </c>
      <c r="BI10">
        <v>34.551184467971574</v>
      </c>
      <c r="BJ10">
        <v>34.21698297754461</v>
      </c>
      <c r="BK10">
        <v>35.924439709180596</v>
      </c>
      <c r="BL10">
        <v>0.49899050192025118</v>
      </c>
      <c r="BM10">
        <v>0.49899050192025118</v>
      </c>
      <c r="BN10">
        <v>1.6417995642691046</v>
      </c>
      <c r="BO10">
        <v>1.6417995642691046</v>
      </c>
      <c r="BP10">
        <v>25.513319588667063</v>
      </c>
      <c r="BQ10">
        <v>33.839595077811687</v>
      </c>
      <c r="BR10">
        <v>33.723483134396794</v>
      </c>
      <c r="BS10">
        <v>34.22212887592093</v>
      </c>
      <c r="BT10">
        <v>35.924021830502923</v>
      </c>
      <c r="BU10">
        <v>0.50256570874441575</v>
      </c>
      <c r="BV10">
        <v>0.50256570874441575</v>
      </c>
      <c r="BW10">
        <v>1.6358960913715368</v>
      </c>
      <c r="BX10">
        <v>1.6358960913715368</v>
      </c>
      <c r="BY10">
        <v>25.610578772860155</v>
      </c>
      <c r="BZ10">
        <v>33.838064423217766</v>
      </c>
      <c r="CA10">
        <v>33.723483134396794</v>
      </c>
      <c r="CB10">
        <v>33.523241917355271</v>
      </c>
      <c r="CC10">
        <v>35.11243939329951</v>
      </c>
      <c r="CD10">
        <v>0.7077389161796126</v>
      </c>
      <c r="CE10">
        <v>0.7077389161796126</v>
      </c>
      <c r="CF10">
        <v>2.7576457986545009</v>
      </c>
      <c r="CG10">
        <v>2.7576457986545009</v>
      </c>
      <c r="CH10">
        <v>25.27314217322256</v>
      </c>
      <c r="CI10">
        <v>33.02940269977617</v>
      </c>
      <c r="CJ10">
        <v>32.898792279634215</v>
      </c>
      <c r="CK10">
        <v>33.52811636756249</v>
      </c>
      <c r="CL10">
        <v>35.110946347000308</v>
      </c>
      <c r="CM10">
        <v>0.71444439436765483</v>
      </c>
      <c r="CN10">
        <v>0.71444439436765483</v>
      </c>
      <c r="CO10">
        <v>2.7439350918901906</v>
      </c>
      <c r="CP10">
        <v>2.7439350918901906</v>
      </c>
      <c r="CQ10">
        <v>25.375819632413879</v>
      </c>
      <c r="CR10">
        <v>33.02601498120972</v>
      </c>
      <c r="CS10">
        <v>32.898792279634215</v>
      </c>
      <c r="CT10">
        <v>35.302519858367567</v>
      </c>
      <c r="CU10">
        <v>35.469303415483914</v>
      </c>
      <c r="CV10">
        <v>0.53497716531081885</v>
      </c>
      <c r="CW10">
        <v>0.53497716531081885</v>
      </c>
      <c r="CX10">
        <v>0.840292855164956</v>
      </c>
      <c r="CY10">
        <v>0.840292855164956</v>
      </c>
      <c r="CZ10">
        <v>23.643589439984996</v>
      </c>
      <c r="DA10">
        <v>34.875247935396757</v>
      </c>
      <c r="DB10">
        <v>34.102549353086189</v>
      </c>
      <c r="DC10">
        <v>35.304897755842894</v>
      </c>
      <c r="DD10">
        <v>35.469901808829903</v>
      </c>
      <c r="DE10">
        <v>0.53732303755199462</v>
      </c>
      <c r="DF10">
        <v>0.53732303755199462</v>
      </c>
      <c r="DG10">
        <v>0.83686612944448013</v>
      </c>
      <c r="DH10">
        <v>0.83686612944448013</v>
      </c>
      <c r="DI10">
        <v>23.773315128983548</v>
      </c>
      <c r="DJ10">
        <v>34.873733564229966</v>
      </c>
      <c r="DK10">
        <v>34.102549353086189</v>
      </c>
      <c r="DL10">
        <v>34.984603844519484</v>
      </c>
      <c r="DM10">
        <v>36.671940262880646</v>
      </c>
      <c r="DN10">
        <v>0.49088225114357442</v>
      </c>
      <c r="DO10">
        <v>0.49088225114357442</v>
      </c>
      <c r="DP10">
        <v>1.3622534112932003</v>
      </c>
      <c r="DQ10">
        <v>1.3622534112932003</v>
      </c>
      <c r="DR10">
        <v>24.57321181491702</v>
      </c>
      <c r="DS10">
        <v>34.575692539989873</v>
      </c>
      <c r="DT10">
        <v>34.04578332065087</v>
      </c>
      <c r="DU10">
        <v>34.988276358510241</v>
      </c>
      <c r="DV10">
        <v>36.671798694211205</v>
      </c>
      <c r="DW10">
        <v>0.49305121854026751</v>
      </c>
      <c r="DX10">
        <v>0.49305121854026751</v>
      </c>
      <c r="DY10">
        <v>1.3583643779642061</v>
      </c>
      <c r="DZ10">
        <v>1.3583643779642061</v>
      </c>
      <c r="EA10">
        <v>24.686298193655976</v>
      </c>
      <c r="EB10">
        <v>34.574753877758752</v>
      </c>
      <c r="EC10">
        <v>34.04578332065087</v>
      </c>
      <c r="ED10">
        <v>33.945064759847213</v>
      </c>
      <c r="EE10">
        <v>36.226607954630289</v>
      </c>
      <c r="EF10">
        <v>0.67963421441543348</v>
      </c>
      <c r="EG10">
        <v>0.67963421441543348</v>
      </c>
      <c r="EH10">
        <v>0.5459085648496087</v>
      </c>
      <c r="EI10">
        <v>0.5459085648496087</v>
      </c>
      <c r="EJ10">
        <v>26.246315654737518</v>
      </c>
      <c r="EK10">
        <v>33.272684413382564</v>
      </c>
      <c r="EL10">
        <v>32.723766382725302</v>
      </c>
      <c r="EM10">
        <v>33.953799526917955</v>
      </c>
      <c r="EN10">
        <v>36.226270397407085</v>
      </c>
      <c r="EO10">
        <v>0.6853690478499801</v>
      </c>
      <c r="EP10">
        <v>0.6853690478499801</v>
      </c>
      <c r="EQ10">
        <v>0.53774011495581342</v>
      </c>
      <c r="ER10">
        <v>0.53774011495581342</v>
      </c>
      <c r="ES10">
        <v>26.348427131452542</v>
      </c>
      <c r="ET10">
        <v>33.271170087833262</v>
      </c>
      <c r="EU10">
        <v>32.723766382725302</v>
      </c>
      <c r="EV10">
        <v>34.896324378566895</v>
      </c>
      <c r="EW10">
        <v>35.161776807880976</v>
      </c>
      <c r="EX10">
        <v>0.52464432612091549</v>
      </c>
      <c r="EY10">
        <v>0.52464432612091549</v>
      </c>
      <c r="EZ10">
        <v>1.2081440940060677</v>
      </c>
      <c r="FA10">
        <v>1.2081440940060677</v>
      </c>
      <c r="FB10">
        <v>24.22245327208292</v>
      </c>
      <c r="FC10">
        <v>34.344739057076325</v>
      </c>
      <c r="FD10">
        <v>33.66098787719973</v>
      </c>
      <c r="FE10">
        <v>34.875078286021427</v>
      </c>
      <c r="FF10">
        <v>35.154876042536827</v>
      </c>
      <c r="FG10">
        <v>0.51540557629923311</v>
      </c>
      <c r="FH10">
        <v>0.51540557629923311</v>
      </c>
      <c r="FI10">
        <v>1.2235027638525291</v>
      </c>
      <c r="FJ10">
        <v>1.2235027638525291</v>
      </c>
      <c r="FK10">
        <v>23.978121934332407</v>
      </c>
      <c r="FL10">
        <v>34.344185709721877</v>
      </c>
      <c r="FM10">
        <v>33.66098787719973</v>
      </c>
    </row>
    <row r="11" spans="1:169">
      <c r="A11">
        <v>599</v>
      </c>
      <c r="B11">
        <v>25.776648762606253</v>
      </c>
      <c r="C11">
        <v>25.823351237393737</v>
      </c>
      <c r="D11">
        <v>0.57766487626062601</v>
      </c>
      <c r="E11">
        <v>8.7664876260625996E-2</v>
      </c>
      <c r="F11">
        <v>8.7664876260626023</v>
      </c>
      <c r="G11">
        <v>1.055532975252125</v>
      </c>
      <c r="H11">
        <v>1.3</v>
      </c>
      <c r="I11">
        <v>0.46570689185333619</v>
      </c>
      <c r="J11">
        <v>0.46570689185333619</v>
      </c>
      <c r="K11">
        <v>0.66345788821863638</v>
      </c>
      <c r="L11">
        <v>0.64942060779776845</v>
      </c>
      <c r="M11">
        <v>0.66345788821863638</v>
      </c>
      <c r="N11">
        <v>34.717903790525469</v>
      </c>
      <c r="O11">
        <v>36.199688242906618</v>
      </c>
      <c r="P11">
        <v>20.33595275810513</v>
      </c>
      <c r="Q11">
        <v>1.4198817390701279</v>
      </c>
      <c r="R11">
        <v>0.465742234820612</v>
      </c>
      <c r="S11">
        <v>24.739163341317202</v>
      </c>
      <c r="T11">
        <v>143.5596687057789</v>
      </c>
      <c r="U11">
        <v>-24.98024089476889</v>
      </c>
      <c r="V11">
        <v>-32.467301463375378</v>
      </c>
      <c r="W11">
        <v>4.0513862663514999</v>
      </c>
      <c r="X11">
        <v>-12.605792214801856</v>
      </c>
      <c r="Y11">
        <v>-54.545718130565184</v>
      </c>
      <c r="Z11">
        <v>34.934981817090701</v>
      </c>
      <c r="AA11">
        <v>36.536847679617011</v>
      </c>
      <c r="AB11">
        <v>0.74700541549792465</v>
      </c>
      <c r="AC11">
        <v>0.74700541549792465</v>
      </c>
      <c r="AD11">
        <v>0.46032491991500613</v>
      </c>
      <c r="AE11">
        <v>0.46032491991500613</v>
      </c>
      <c r="AF11">
        <v>22.890250110165159</v>
      </c>
      <c r="AG11">
        <v>34.488579923704741</v>
      </c>
      <c r="AH11">
        <v>33.902648313987122</v>
      </c>
      <c r="AI11">
        <v>34.853985895950288</v>
      </c>
      <c r="AJ11">
        <v>36.251811954324033</v>
      </c>
      <c r="AK11">
        <v>0.86952546461291558</v>
      </c>
      <c r="AL11">
        <v>0.86952546461291558</v>
      </c>
      <c r="AM11">
        <v>0.73054171374546262</v>
      </c>
      <c r="AN11">
        <v>0.73054171374546262</v>
      </c>
      <c r="AO11">
        <v>24.266523204168315</v>
      </c>
      <c r="AP11">
        <v>34.358031359740245</v>
      </c>
      <c r="AQ11">
        <v>34.334590710262546</v>
      </c>
      <c r="AR11">
        <v>34.723852482099751</v>
      </c>
      <c r="AS11">
        <v>36.227232530187067</v>
      </c>
      <c r="AT11">
        <v>0.89188335357331949</v>
      </c>
      <c r="AU11">
        <v>0.89188335357331949</v>
      </c>
      <c r="AV11">
        <v>0.4201387388458282</v>
      </c>
      <c r="AW11">
        <v>0.4201387388458282</v>
      </c>
      <c r="AX11">
        <v>24.437082403773573</v>
      </c>
      <c r="AY11">
        <v>34.216924908082262</v>
      </c>
      <c r="AZ11">
        <v>34.379318429332947</v>
      </c>
      <c r="BA11">
        <v>35.151308778650098</v>
      </c>
      <c r="BB11">
        <v>37.722989758620528</v>
      </c>
      <c r="BC11">
        <v>0.63153193267741203</v>
      </c>
      <c r="BD11">
        <v>0.63153193267741203</v>
      </c>
      <c r="BE11">
        <v>1.8642421967303824</v>
      </c>
      <c r="BF11">
        <v>1.8642421967303824</v>
      </c>
      <c r="BG11">
        <v>23.939579308357864</v>
      </c>
      <c r="BH11">
        <v>34.550916662485712</v>
      </c>
      <c r="BI11">
        <v>34.551184467971574</v>
      </c>
      <c r="BJ11">
        <v>34.219597399864654</v>
      </c>
      <c r="BK11">
        <v>35.926700354760314</v>
      </c>
      <c r="BL11">
        <v>0.50307482297643569</v>
      </c>
      <c r="BM11">
        <v>0.50307482297643569</v>
      </c>
      <c r="BN11">
        <v>1.6282605151709959</v>
      </c>
      <c r="BO11">
        <v>1.6282605151709959</v>
      </c>
      <c r="BP11">
        <v>25.513076934233681</v>
      </c>
      <c r="BQ11">
        <v>33.839595077811687</v>
      </c>
      <c r="BR11">
        <v>33.723483134396794</v>
      </c>
      <c r="BS11">
        <v>34.224906946803273</v>
      </c>
      <c r="BT11">
        <v>35.926311757661459</v>
      </c>
      <c r="BU11">
        <v>0.50668768615405968</v>
      </c>
      <c r="BV11">
        <v>0.50668768615405968</v>
      </c>
      <c r="BW11">
        <v>1.6222967943171316</v>
      </c>
      <c r="BX11">
        <v>1.6222967943171316</v>
      </c>
      <c r="BY11">
        <v>25.610330279554809</v>
      </c>
      <c r="BZ11">
        <v>33.838064423217766</v>
      </c>
      <c r="CA11">
        <v>33.723483134396794</v>
      </c>
      <c r="CB11">
        <v>33.531894748263419</v>
      </c>
      <c r="CC11">
        <v>35.11609528079633</v>
      </c>
      <c r="CD11">
        <v>0.71746279578858818</v>
      </c>
      <c r="CE11">
        <v>0.71746279578858818</v>
      </c>
      <c r="CF11">
        <v>2.7528244535957214</v>
      </c>
      <c r="CG11">
        <v>2.7528244535957214</v>
      </c>
      <c r="CH11">
        <v>25.271837058355803</v>
      </c>
      <c r="CI11">
        <v>33.02940269977617</v>
      </c>
      <c r="CJ11">
        <v>32.898792279634215</v>
      </c>
      <c r="CK11">
        <v>33.537017869303263</v>
      </c>
      <c r="CL11">
        <v>35.114651337389965</v>
      </c>
      <c r="CM11">
        <v>0.72431463770347992</v>
      </c>
      <c r="CN11">
        <v>0.72431463770347992</v>
      </c>
      <c r="CO11">
        <v>2.7387611704737851</v>
      </c>
      <c r="CP11">
        <v>2.7387611704737851</v>
      </c>
      <c r="CQ11">
        <v>25.37451228633174</v>
      </c>
      <c r="CR11">
        <v>33.02601498120972</v>
      </c>
      <c r="CS11">
        <v>32.898792279634215</v>
      </c>
      <c r="CT11">
        <v>35.313213001546352</v>
      </c>
      <c r="CU11">
        <v>35.49126803273932</v>
      </c>
      <c r="CV11">
        <v>0.54633640900183522</v>
      </c>
      <c r="CW11">
        <v>0.54633640900183522</v>
      </c>
      <c r="CX11">
        <v>0.81687228298455739</v>
      </c>
      <c r="CY11">
        <v>0.81687228298455739</v>
      </c>
      <c r="CZ11">
        <v>23.64021229477591</v>
      </c>
      <c r="DA11">
        <v>34.875247935396757</v>
      </c>
      <c r="DB11">
        <v>34.102549353086189</v>
      </c>
      <c r="DC11">
        <v>35.315652140876217</v>
      </c>
      <c r="DD11">
        <v>35.492066825677007</v>
      </c>
      <c r="DE11">
        <v>0.54871204732961676</v>
      </c>
      <c r="DF11">
        <v>0.54871204732961676</v>
      </c>
      <c r="DG11">
        <v>0.81341897073058966</v>
      </c>
      <c r="DH11">
        <v>0.81341897073058966</v>
      </c>
      <c r="DI11">
        <v>23.769983631969765</v>
      </c>
      <c r="DJ11">
        <v>34.873733564229966</v>
      </c>
      <c r="DK11">
        <v>34.102549353086189</v>
      </c>
      <c r="DL11">
        <v>34.996436307210161</v>
      </c>
      <c r="DM11">
        <v>36.673288031221752</v>
      </c>
      <c r="DN11">
        <v>0.49684712333236591</v>
      </c>
      <c r="DO11">
        <v>0.49684712333236591</v>
      </c>
      <c r="DP11">
        <v>1.3515591926540711</v>
      </c>
      <c r="DQ11">
        <v>1.3515591926540711</v>
      </c>
      <c r="DR11">
        <v>24.570304814481204</v>
      </c>
      <c r="DS11">
        <v>34.575692539989873</v>
      </c>
      <c r="DT11">
        <v>34.04578332065087</v>
      </c>
      <c r="DU11">
        <v>35.000245028197888</v>
      </c>
      <c r="DV11">
        <v>36.673150990682281</v>
      </c>
      <c r="DW11">
        <v>0.4990120836569964</v>
      </c>
      <c r="DX11">
        <v>0.4990120836569964</v>
      </c>
      <c r="DY11">
        <v>1.3476785928217669</v>
      </c>
      <c r="DZ11">
        <v>1.3476785928217669</v>
      </c>
      <c r="EA11">
        <v>24.683413523736604</v>
      </c>
      <c r="EB11">
        <v>34.574753877758752</v>
      </c>
      <c r="EC11">
        <v>34.04578332065087</v>
      </c>
      <c r="ED11">
        <v>33.965575712942197</v>
      </c>
      <c r="EE11">
        <v>36.22904909431692</v>
      </c>
      <c r="EF11">
        <v>0.68843363930498347</v>
      </c>
      <c r="EG11">
        <v>0.68843363930498347</v>
      </c>
      <c r="EH11">
        <v>0.52489843347831244</v>
      </c>
      <c r="EI11">
        <v>0.52489843347831244</v>
      </c>
      <c r="EJ11">
        <v>26.2448692877974</v>
      </c>
      <c r="EK11">
        <v>33.272684413382564</v>
      </c>
      <c r="EL11">
        <v>32.723766382725302</v>
      </c>
      <c r="EM11">
        <v>33.974681793689719</v>
      </c>
      <c r="EN11">
        <v>36.228732999024082</v>
      </c>
      <c r="EO11">
        <v>0.69424456204250262</v>
      </c>
      <c r="EP11">
        <v>0.69424456204250262</v>
      </c>
      <c r="EQ11">
        <v>0.51665701679917442</v>
      </c>
      <c r="ER11">
        <v>0.51665701679917442</v>
      </c>
      <c r="ES11">
        <v>26.347022363307779</v>
      </c>
      <c r="ET11">
        <v>33.271170087833262</v>
      </c>
      <c r="EU11">
        <v>32.723766382725302</v>
      </c>
      <c r="EV11">
        <v>34.913030218075974</v>
      </c>
      <c r="EW11">
        <v>35.187372207142609</v>
      </c>
      <c r="EX11">
        <v>0.53405943730553718</v>
      </c>
      <c r="EY11">
        <v>0.53405943730553718</v>
      </c>
      <c r="EZ11">
        <v>1.1886417199480233</v>
      </c>
      <c r="FA11">
        <v>1.1886417199480233</v>
      </c>
      <c r="FB11">
        <v>24.217102074254782</v>
      </c>
      <c r="FC11">
        <v>34.344739057076325</v>
      </c>
      <c r="FD11">
        <v>33.66098787719973</v>
      </c>
      <c r="FE11">
        <v>34.891255902396082</v>
      </c>
      <c r="FF11">
        <v>35.17951030359491</v>
      </c>
      <c r="FG11">
        <v>0.52475516585009974</v>
      </c>
      <c r="FH11">
        <v>0.52475516585009974</v>
      </c>
      <c r="FI11">
        <v>1.2040304275329019</v>
      </c>
      <c r="FJ11">
        <v>1.2040304275329019</v>
      </c>
      <c r="FK11">
        <v>23.972411579297017</v>
      </c>
      <c r="FL11">
        <v>34.344185709721877</v>
      </c>
      <c r="FM11">
        <v>33.66098787719973</v>
      </c>
    </row>
    <row r="12" spans="1:169">
      <c r="A12">
        <v>659</v>
      </c>
      <c r="B12">
        <v>25.776648762606253</v>
      </c>
      <c r="C12">
        <v>25.823351237393737</v>
      </c>
      <c r="D12">
        <v>0.57766487626062601</v>
      </c>
      <c r="E12">
        <v>8.7664876260625996E-2</v>
      </c>
      <c r="F12">
        <v>8.7664876260626023</v>
      </c>
      <c r="G12">
        <v>1.055532975252125</v>
      </c>
      <c r="H12">
        <v>1.3</v>
      </c>
      <c r="I12">
        <v>0.43745736420363468</v>
      </c>
      <c r="J12">
        <v>0.43745736420363468</v>
      </c>
      <c r="K12">
        <v>0.67526843136823622</v>
      </c>
      <c r="L12">
        <v>0.6599322630157658</v>
      </c>
      <c r="M12">
        <v>0.67526843136823622</v>
      </c>
      <c r="N12">
        <v>34.731719851668579</v>
      </c>
      <c r="O12">
        <v>36.201959784026108</v>
      </c>
      <c r="P12">
        <v>20.33595275810513</v>
      </c>
      <c r="Q12">
        <v>1.4198817390701279</v>
      </c>
      <c r="R12">
        <v>0.465742234820612</v>
      </c>
      <c r="S12">
        <v>24.736501607298845</v>
      </c>
      <c r="T12">
        <v>143.5596687057789</v>
      </c>
      <c r="U12">
        <v>-25.015202194352177</v>
      </c>
      <c r="V12">
        <v>-32.513853424732709</v>
      </c>
      <c r="W12">
        <v>4.0513862663514999</v>
      </c>
      <c r="X12">
        <v>-12.607638521241446</v>
      </c>
      <c r="Y12">
        <v>-55.309325406527712</v>
      </c>
      <c r="Z12">
        <v>34.94477306517507</v>
      </c>
      <c r="AA12">
        <v>36.539244968626775</v>
      </c>
      <c r="AB12">
        <v>0.76133226231578544</v>
      </c>
      <c r="AC12">
        <v>0.76133226231578544</v>
      </c>
      <c r="AD12">
        <v>0.43748212739903058</v>
      </c>
      <c r="AE12">
        <v>0.43748212739903058</v>
      </c>
      <c r="AF12">
        <v>22.886820789600375</v>
      </c>
      <c r="AG12">
        <v>34.488579923704741</v>
      </c>
      <c r="AH12">
        <v>33.902648313987122</v>
      </c>
      <c r="AI12">
        <v>34.873152893061757</v>
      </c>
      <c r="AJ12">
        <v>36.254130912128645</v>
      </c>
      <c r="AK12">
        <v>0.89476161381280317</v>
      </c>
      <c r="AL12">
        <v>0.89476161381280317</v>
      </c>
      <c r="AM12">
        <v>0.69084041958722553</v>
      </c>
      <c r="AN12">
        <v>0.69084041958722553</v>
      </c>
      <c r="AO12">
        <v>24.262337525810288</v>
      </c>
      <c r="AP12">
        <v>34.358031359740245</v>
      </c>
      <c r="AQ12">
        <v>34.334590710262546</v>
      </c>
      <c r="AR12">
        <v>34.744126976525301</v>
      </c>
      <c r="AS12">
        <v>36.229614819928607</v>
      </c>
      <c r="AT12">
        <v>0.9176926828278692</v>
      </c>
      <c r="AU12">
        <v>0.9176926828278692</v>
      </c>
      <c r="AV12">
        <v>0.37696385695352669</v>
      </c>
      <c r="AW12">
        <v>0.37696385695352669</v>
      </c>
      <c r="AX12">
        <v>24.43264442459062</v>
      </c>
      <c r="AY12">
        <v>34.216924908082262</v>
      </c>
      <c r="AZ12">
        <v>34.379318429332947</v>
      </c>
      <c r="BA12">
        <v>35.170506314027534</v>
      </c>
      <c r="BB12">
        <v>37.724209051298637</v>
      </c>
      <c r="BC12">
        <v>0.64621602259473176</v>
      </c>
      <c r="BD12">
        <v>0.64621602259473176</v>
      </c>
      <c r="BE12">
        <v>1.8394243320721868</v>
      </c>
      <c r="BF12">
        <v>1.8394243320721868</v>
      </c>
      <c r="BG12">
        <v>23.934385111857569</v>
      </c>
      <c r="BH12">
        <v>34.550916662485712</v>
      </c>
      <c r="BI12">
        <v>34.551184467971574</v>
      </c>
      <c r="BJ12">
        <v>34.22005896842478</v>
      </c>
      <c r="BK12">
        <v>35.929161675163385</v>
      </c>
      <c r="BL12">
        <v>0.50650422522006666</v>
      </c>
      <c r="BM12">
        <v>0.50650422522006666</v>
      </c>
      <c r="BN12">
        <v>1.6163638208521416</v>
      </c>
      <c r="BO12">
        <v>1.6163638208521416</v>
      </c>
      <c r="BP12">
        <v>25.513031876793651</v>
      </c>
      <c r="BQ12">
        <v>33.839595077811687</v>
      </c>
      <c r="BR12">
        <v>33.723483134396794</v>
      </c>
      <c r="BS12">
        <v>34.225504157683382</v>
      </c>
      <c r="BT12">
        <v>35.928805693894176</v>
      </c>
      <c r="BU12">
        <v>0.51013889982427818</v>
      </c>
      <c r="BV12">
        <v>0.51013889982427818</v>
      </c>
      <c r="BW12">
        <v>1.6103666379780237</v>
      </c>
      <c r="BX12">
        <v>1.6103666379780237</v>
      </c>
      <c r="BY12">
        <v>25.610274832917725</v>
      </c>
      <c r="BZ12">
        <v>33.838064423217766</v>
      </c>
      <c r="CA12">
        <v>33.723483134396794</v>
      </c>
      <c r="CB12">
        <v>33.537787518882205</v>
      </c>
      <c r="CC12">
        <v>35.120096323859066</v>
      </c>
      <c r="CD12">
        <v>0.72530857712080055</v>
      </c>
      <c r="CE12">
        <v>0.72530857712080055</v>
      </c>
      <c r="CF12">
        <v>2.7505168328721568</v>
      </c>
      <c r="CG12">
        <v>2.7505168328721568</v>
      </c>
      <c r="CH12">
        <v>25.270947389185821</v>
      </c>
      <c r="CI12">
        <v>33.02940269977617</v>
      </c>
      <c r="CJ12">
        <v>32.898792279634215</v>
      </c>
      <c r="CK12">
        <v>33.54312423154456</v>
      </c>
      <c r="CL12">
        <v>35.118707331123872</v>
      </c>
      <c r="CM12">
        <v>0.73228976488850295</v>
      </c>
      <c r="CN12">
        <v>0.73228976488850295</v>
      </c>
      <c r="CO12">
        <v>2.7361419767993773</v>
      </c>
      <c r="CP12">
        <v>2.7361419767993773</v>
      </c>
      <c r="CQ12">
        <v>25.373614649259373</v>
      </c>
      <c r="CR12">
        <v>33.02601498120972</v>
      </c>
      <c r="CS12">
        <v>32.898792279634215</v>
      </c>
      <c r="CT12">
        <v>35.322888876861896</v>
      </c>
      <c r="CU12">
        <v>35.511490342283345</v>
      </c>
      <c r="CV12">
        <v>0.55684674654443311</v>
      </c>
      <c r="CW12">
        <v>0.55684674654443311</v>
      </c>
      <c r="CX12">
        <v>0.79539650279348795</v>
      </c>
      <c r="CY12">
        <v>0.79539650279348795</v>
      </c>
      <c r="CZ12">
        <v>23.637156789605385</v>
      </c>
      <c r="DA12">
        <v>34.875247935396757</v>
      </c>
      <c r="DB12">
        <v>34.102549353086189</v>
      </c>
      <c r="DC12">
        <v>35.325375649434179</v>
      </c>
      <c r="DD12">
        <v>35.512469237679881</v>
      </c>
      <c r="DE12">
        <v>0.55924538471990504</v>
      </c>
      <c r="DF12">
        <v>0.55924538471990504</v>
      </c>
      <c r="DG12">
        <v>0.79192468172484087</v>
      </c>
      <c r="DH12">
        <v>0.79192468172484087</v>
      </c>
      <c r="DI12">
        <v>23.766971842120377</v>
      </c>
      <c r="DJ12">
        <v>34.873733564229966</v>
      </c>
      <c r="DK12">
        <v>34.102549353086189</v>
      </c>
      <c r="DL12">
        <v>35.006270639643454</v>
      </c>
      <c r="DM12">
        <v>36.674704807330528</v>
      </c>
      <c r="DN12">
        <v>0.50240978906842315</v>
      </c>
      <c r="DO12">
        <v>0.50240978906842315</v>
      </c>
      <c r="DP12">
        <v>1.3415895133493341</v>
      </c>
      <c r="DQ12">
        <v>1.3415895133493341</v>
      </c>
      <c r="DR12">
        <v>24.567888652888275</v>
      </c>
      <c r="DS12">
        <v>34.575692539989873</v>
      </c>
      <c r="DT12">
        <v>34.04578332065087</v>
      </c>
      <c r="DU12">
        <v>35.01019130550403</v>
      </c>
      <c r="DV12">
        <v>36.674572989378042</v>
      </c>
      <c r="DW12">
        <v>0.50457048203031007</v>
      </c>
      <c r="DX12">
        <v>0.50457048203031007</v>
      </c>
      <c r="DY12">
        <v>1.3377181304562449</v>
      </c>
      <c r="DZ12">
        <v>1.3377181304562449</v>
      </c>
      <c r="EA12">
        <v>24.681016225145481</v>
      </c>
      <c r="EB12">
        <v>34.574753877758752</v>
      </c>
      <c r="EC12">
        <v>34.04578332065087</v>
      </c>
      <c r="ED12">
        <v>33.982218340977141</v>
      </c>
      <c r="EE12">
        <v>36.231694814811554</v>
      </c>
      <c r="EF12">
        <v>0.6961424697871843</v>
      </c>
      <c r="EG12">
        <v>0.6961424697871843</v>
      </c>
      <c r="EH12">
        <v>0.50623151674529399</v>
      </c>
      <c r="EI12">
        <v>0.50623151674529399</v>
      </c>
      <c r="EJ12">
        <v>26.243695573828401</v>
      </c>
      <c r="EK12">
        <v>33.272684413382564</v>
      </c>
      <c r="EL12">
        <v>32.723766382725302</v>
      </c>
      <c r="EM12">
        <v>33.991644012538579</v>
      </c>
      <c r="EN12">
        <v>36.231403301530882</v>
      </c>
      <c r="EO12">
        <v>0.70202064129587294</v>
      </c>
      <c r="EP12">
        <v>0.70202064129587294</v>
      </c>
      <c r="EQ12">
        <v>0.49792610825834682</v>
      </c>
      <c r="ER12">
        <v>0.49792610825834682</v>
      </c>
      <c r="ES12">
        <v>26.345881179405151</v>
      </c>
      <c r="ET12">
        <v>33.271170087833262</v>
      </c>
      <c r="EU12">
        <v>32.723766382725302</v>
      </c>
      <c r="EV12">
        <v>34.927861789250564</v>
      </c>
      <c r="EW12">
        <v>35.212051333733577</v>
      </c>
      <c r="EX12">
        <v>0.54292722053423859</v>
      </c>
      <c r="EY12">
        <v>0.54292722053423859</v>
      </c>
      <c r="EZ12">
        <v>1.1704768640765588</v>
      </c>
      <c r="FA12">
        <v>1.1704768640765588</v>
      </c>
      <c r="FB12">
        <v>24.212352074102611</v>
      </c>
      <c r="FC12">
        <v>34.344739057076325</v>
      </c>
      <c r="FD12">
        <v>33.66098787719973</v>
      </c>
      <c r="FE12">
        <v>34.905656889088903</v>
      </c>
      <c r="FF12">
        <v>35.2032691539045</v>
      </c>
      <c r="FG12">
        <v>0.53356732152066488</v>
      </c>
      <c r="FH12">
        <v>0.53356732152066488</v>
      </c>
      <c r="FI12">
        <v>1.1858851240493182</v>
      </c>
      <c r="FJ12">
        <v>1.1858851240493182</v>
      </c>
      <c r="FK12">
        <v>23.96732922542537</v>
      </c>
      <c r="FL12">
        <v>34.344185709721877</v>
      </c>
      <c r="FM12">
        <v>33.66098787719973</v>
      </c>
    </row>
    <row r="13" spans="1:169">
      <c r="A13">
        <v>719</v>
      </c>
      <c r="B13">
        <v>25.776648762606253</v>
      </c>
      <c r="C13">
        <v>25.823351237393737</v>
      </c>
      <c r="D13">
        <v>0.57766487626062601</v>
      </c>
      <c r="E13">
        <v>8.7664876260625996E-2</v>
      </c>
      <c r="F13">
        <v>8.7664876260626023</v>
      </c>
      <c r="G13">
        <v>1.055532975252125</v>
      </c>
      <c r="H13">
        <v>1.3</v>
      </c>
      <c r="I13">
        <v>0.41136832236197551</v>
      </c>
      <c r="J13">
        <v>0.41136832236197551</v>
      </c>
      <c r="K13">
        <v>0.68613112819194044</v>
      </c>
      <c r="L13">
        <v>0.66952258133484222</v>
      </c>
      <c r="M13">
        <v>0.68613112819194044</v>
      </c>
      <c r="N13">
        <v>34.744028894791981</v>
      </c>
      <c r="O13">
        <v>36.204104412717058</v>
      </c>
      <c r="P13">
        <v>20.33595275810513</v>
      </c>
      <c r="Q13">
        <v>1.4198817390701279</v>
      </c>
      <c r="R13">
        <v>0.465742234820612</v>
      </c>
      <c r="S13">
        <v>24.73410081600581</v>
      </c>
      <c r="T13">
        <v>143.5596687057789</v>
      </c>
      <c r="U13">
        <v>-25.045579422114159</v>
      </c>
      <c r="V13">
        <v>-32.554774567972821</v>
      </c>
      <c r="W13">
        <v>4.0513862663514999</v>
      </c>
      <c r="X13">
        <v>-12.609448748537762</v>
      </c>
      <c r="Y13">
        <v>-56.055979335574911</v>
      </c>
      <c r="Z13">
        <v>34.953741044111631</v>
      </c>
      <c r="AA13">
        <v>36.541672244391883</v>
      </c>
      <c r="AB13">
        <v>0.77456117103936961</v>
      </c>
      <c r="AC13">
        <v>0.77456117103936961</v>
      </c>
      <c r="AD13">
        <v>0.41657756211071639</v>
      </c>
      <c r="AE13">
        <v>0.41657756211071639</v>
      </c>
      <c r="AF13">
        <v>22.883679843061906</v>
      </c>
      <c r="AG13">
        <v>34.488579923704741</v>
      </c>
      <c r="AH13">
        <v>33.902648313987122</v>
      </c>
      <c r="AI13">
        <v>34.891842619600602</v>
      </c>
      <c r="AJ13">
        <v>36.256403686119938</v>
      </c>
      <c r="AK13">
        <v>0.91888957762161638</v>
      </c>
      <c r="AL13">
        <v>0.91888957762161638</v>
      </c>
      <c r="AM13">
        <v>0.65302791701778551</v>
      </c>
      <c r="AN13">
        <v>0.65302791701778551</v>
      </c>
      <c r="AO13">
        <v>24.258255651529765</v>
      </c>
      <c r="AP13">
        <v>34.358031359740245</v>
      </c>
      <c r="AQ13">
        <v>34.334590710262546</v>
      </c>
      <c r="AR13">
        <v>34.763758772112766</v>
      </c>
      <c r="AS13">
        <v>36.231919197697657</v>
      </c>
      <c r="AT13">
        <v>0.94225870421750957</v>
      </c>
      <c r="AU13">
        <v>0.94225870421750957</v>
      </c>
      <c r="AV13">
        <v>0.3362663874440206</v>
      </c>
      <c r="AW13">
        <v>0.3362663874440206</v>
      </c>
      <c r="AX13">
        <v>24.428346891156195</v>
      </c>
      <c r="AY13">
        <v>34.216924908082262</v>
      </c>
      <c r="AZ13">
        <v>34.379318429332947</v>
      </c>
      <c r="BA13">
        <v>35.18898398691136</v>
      </c>
      <c r="BB13">
        <v>37.725482352331312</v>
      </c>
      <c r="BC13">
        <v>0.66020735581645562</v>
      </c>
      <c r="BD13">
        <v>0.66020735581645562</v>
      </c>
      <c r="BE13">
        <v>1.815622032682108</v>
      </c>
      <c r="BF13">
        <v>1.815622032682108</v>
      </c>
      <c r="BG13">
        <v>23.929385687137859</v>
      </c>
      <c r="BH13">
        <v>34.550916662485712</v>
      </c>
      <c r="BI13">
        <v>34.551184467971574</v>
      </c>
      <c r="BJ13">
        <v>34.218873840660052</v>
      </c>
      <c r="BK13">
        <v>35.931798859967735</v>
      </c>
      <c r="BL13">
        <v>0.50944429066537555</v>
      </c>
      <c r="BM13">
        <v>0.50944429066537555</v>
      </c>
      <c r="BN13">
        <v>1.6057903162929787</v>
      </c>
      <c r="BO13">
        <v>1.6057903162929787</v>
      </c>
      <c r="BP13">
        <v>25.51313800797849</v>
      </c>
      <c r="BQ13">
        <v>33.839595077811687</v>
      </c>
      <c r="BR13">
        <v>33.723483134396794</v>
      </c>
      <c r="BS13">
        <v>34.224432535634037</v>
      </c>
      <c r="BT13">
        <v>35.931478515828722</v>
      </c>
      <c r="BU13">
        <v>0.51311027886553218</v>
      </c>
      <c r="BV13">
        <v>0.51311027886553218</v>
      </c>
      <c r="BW13">
        <v>1.5997443491897707</v>
      </c>
      <c r="BX13">
        <v>1.5997443491897707</v>
      </c>
      <c r="BY13">
        <v>25.610367155820509</v>
      </c>
      <c r="BZ13">
        <v>33.838064423217766</v>
      </c>
      <c r="CA13">
        <v>33.723483134396794</v>
      </c>
      <c r="CB13">
        <v>33.54150643643014</v>
      </c>
      <c r="CC13">
        <v>35.124404260164582</v>
      </c>
      <c r="CD13">
        <v>0.7316149868914632</v>
      </c>
      <c r="CE13">
        <v>0.7316149868914632</v>
      </c>
      <c r="CF13">
        <v>2.7501730810475853</v>
      </c>
      <c r="CG13">
        <v>2.7501730810475853</v>
      </c>
      <c r="CH13">
        <v>25.270384986717776</v>
      </c>
      <c r="CI13">
        <v>33.02940269977617</v>
      </c>
      <c r="CJ13">
        <v>32.898792279634215</v>
      </c>
      <c r="CK13">
        <v>33.547028688801994</v>
      </c>
      <c r="CL13">
        <v>35.12307557046406</v>
      </c>
      <c r="CM13">
        <v>0.73871190132211773</v>
      </c>
      <c r="CN13">
        <v>0.73871190132211773</v>
      </c>
      <c r="CO13">
        <v>2.7355195709661801</v>
      </c>
      <c r="CP13">
        <v>2.7355195709661801</v>
      </c>
      <c r="CQ13">
        <v>25.373039820777187</v>
      </c>
      <c r="CR13">
        <v>33.02601498120972</v>
      </c>
      <c r="CS13">
        <v>32.898792279634215</v>
      </c>
      <c r="CT13">
        <v>35.331695748634559</v>
      </c>
      <c r="CU13">
        <v>35.530071786802502</v>
      </c>
      <c r="CV13">
        <v>0.5665624492417165</v>
      </c>
      <c r="CW13">
        <v>0.5665624492417165</v>
      </c>
      <c r="CX13">
        <v>0.77570197321596113</v>
      </c>
      <c r="CY13">
        <v>0.77570197321596113</v>
      </c>
      <c r="CZ13">
        <v>23.634375927568421</v>
      </c>
      <c r="DA13">
        <v>34.875247935396757</v>
      </c>
      <c r="DB13">
        <v>34.102549353086189</v>
      </c>
      <c r="DC13">
        <v>35.33421949459602</v>
      </c>
      <c r="DD13">
        <v>35.531211364444438</v>
      </c>
      <c r="DE13">
        <v>0.5689787461286091</v>
      </c>
      <c r="DF13">
        <v>0.5689787461286091</v>
      </c>
      <c r="DG13">
        <v>0.77221779263863044</v>
      </c>
      <c r="DH13">
        <v>0.77221779263863044</v>
      </c>
      <c r="DI13">
        <v>23.76423274606157</v>
      </c>
      <c r="DJ13">
        <v>34.873733564229966</v>
      </c>
      <c r="DK13">
        <v>34.102549353086189</v>
      </c>
      <c r="DL13">
        <v>35.01443336271624</v>
      </c>
      <c r="DM13">
        <v>36.676188461332615</v>
      </c>
      <c r="DN13">
        <v>0.50758299914426841</v>
      </c>
      <c r="DO13">
        <v>0.50758299914426841</v>
      </c>
      <c r="DP13">
        <v>1.3323217050700475</v>
      </c>
      <c r="DQ13">
        <v>1.3323217050700475</v>
      </c>
      <c r="DR13">
        <v>24.565883145612041</v>
      </c>
      <c r="DS13">
        <v>34.575692539989873</v>
      </c>
      <c r="DT13">
        <v>34.04578332065087</v>
      </c>
      <c r="DU13">
        <v>35.018445651029843</v>
      </c>
      <c r="DV13">
        <v>36.676062535255618</v>
      </c>
      <c r="DW13">
        <v>0.50973930553648428</v>
      </c>
      <c r="DX13">
        <v>0.50973930553648428</v>
      </c>
      <c r="DY13">
        <v>1.328459970259019</v>
      </c>
      <c r="DZ13">
        <v>1.328459970259019</v>
      </c>
      <c r="EA13">
        <v>24.67902668572335</v>
      </c>
      <c r="EB13">
        <v>34.574753877758752</v>
      </c>
      <c r="EC13">
        <v>34.04578332065087</v>
      </c>
      <c r="ED13">
        <v>33.995628238242226</v>
      </c>
      <c r="EE13">
        <v>36.234535732322826</v>
      </c>
      <c r="EF13">
        <v>0.70289985998260907</v>
      </c>
      <c r="EG13">
        <v>0.70289985998260907</v>
      </c>
      <c r="EH13">
        <v>0.48962304640533683</v>
      </c>
      <c r="EI13">
        <v>0.48962304640533683</v>
      </c>
      <c r="EJ13">
        <v>26.24274972977436</v>
      </c>
      <c r="EK13">
        <v>33.272684413382564</v>
      </c>
      <c r="EL13">
        <v>32.723766382725302</v>
      </c>
      <c r="EM13">
        <v>34.005329906431619</v>
      </c>
      <c r="EN13">
        <v>36.234271790996573</v>
      </c>
      <c r="EO13">
        <v>0.70883785769822261</v>
      </c>
      <c r="EP13">
        <v>0.70883785769822261</v>
      </c>
      <c r="EQ13">
        <v>0.48126101753118972</v>
      </c>
      <c r="ER13">
        <v>0.48126101753118972</v>
      </c>
      <c r="ES13">
        <v>26.344960310800111</v>
      </c>
      <c r="ET13">
        <v>33.271170087833262</v>
      </c>
      <c r="EU13">
        <v>32.723766382725302</v>
      </c>
      <c r="EV13">
        <v>34.941157302798018</v>
      </c>
      <c r="EW13">
        <v>35.23569504537133</v>
      </c>
      <c r="EX13">
        <v>0.55123948540353185</v>
      </c>
      <c r="EY13">
        <v>0.55123948540353185</v>
      </c>
      <c r="EZ13">
        <v>1.1536127173520658</v>
      </c>
      <c r="FA13">
        <v>1.1536127173520658</v>
      </c>
      <c r="FB13">
        <v>24.208094645790005</v>
      </c>
      <c r="FC13">
        <v>34.344739057076325</v>
      </c>
      <c r="FD13">
        <v>33.66098787719973</v>
      </c>
      <c r="FE13">
        <v>34.918599860873549</v>
      </c>
      <c r="FF13">
        <v>35.226039988550646</v>
      </c>
      <c r="FG13">
        <v>0.54183229226647223</v>
      </c>
      <c r="FH13">
        <v>0.54183229226647223</v>
      </c>
      <c r="FI13">
        <v>1.1690325588407096</v>
      </c>
      <c r="FJ13">
        <v>1.1690325588407096</v>
      </c>
      <c r="FK13">
        <v>23.962762096969342</v>
      </c>
      <c r="FL13">
        <v>34.344185709721877</v>
      </c>
      <c r="FM13">
        <v>33.66098787719973</v>
      </c>
    </row>
    <row r="14" spans="1:169">
      <c r="A14">
        <v>779</v>
      </c>
      <c r="B14">
        <v>25.776648762606253</v>
      </c>
      <c r="C14">
        <v>25.823351237393737</v>
      </c>
      <c r="D14">
        <v>0.57766487626062601</v>
      </c>
      <c r="E14">
        <v>8.7664876260625996E-2</v>
      </c>
      <c r="F14">
        <v>8.7664876260626023</v>
      </c>
      <c r="G14">
        <v>1.055532975252125</v>
      </c>
      <c r="H14">
        <v>1.3</v>
      </c>
      <c r="I14">
        <v>0.38728415117169729</v>
      </c>
      <c r="J14">
        <v>0.38728415117169729</v>
      </c>
      <c r="K14">
        <v>0.69611246302984964</v>
      </c>
      <c r="L14">
        <v>0.67827708086772098</v>
      </c>
      <c r="M14">
        <v>0.69611246302984964</v>
      </c>
      <c r="N14">
        <v>34.755053028255347</v>
      </c>
      <c r="O14">
        <v>36.206142045821359</v>
      </c>
      <c r="P14">
        <v>20.33595275810513</v>
      </c>
      <c r="Q14">
        <v>1.4198817390701279</v>
      </c>
      <c r="R14">
        <v>0.465742234820612</v>
      </c>
      <c r="S14">
        <v>24.731925926585319</v>
      </c>
      <c r="T14">
        <v>143.5596687057789</v>
      </c>
      <c r="U14">
        <v>-25.072092708036401</v>
      </c>
      <c r="V14">
        <v>-32.59091680429826</v>
      </c>
      <c r="W14">
        <v>4.0513862663514999</v>
      </c>
      <c r="X14">
        <v>-12.611202826293727</v>
      </c>
      <c r="Y14">
        <v>-56.778748403282677</v>
      </c>
      <c r="Z14">
        <v>34.961958661035439</v>
      </c>
      <c r="AA14">
        <v>36.544081527012068</v>
      </c>
      <c r="AB14">
        <v>0.78675905853129091</v>
      </c>
      <c r="AC14">
        <v>0.78675905853129091</v>
      </c>
      <c r="AD14">
        <v>0.39745170348713538</v>
      </c>
      <c r="AE14">
        <v>0.39745170348713538</v>
      </c>
      <c r="AF14">
        <v>22.880801724729309</v>
      </c>
      <c r="AG14">
        <v>34.488579923704741</v>
      </c>
      <c r="AH14">
        <v>33.902648313987122</v>
      </c>
      <c r="AI14">
        <v>34.909960977403486</v>
      </c>
      <c r="AJ14">
        <v>36.258605441717165</v>
      </c>
      <c r="AK14">
        <v>0.94185565456167675</v>
      </c>
      <c r="AL14">
        <v>0.94185565456167675</v>
      </c>
      <c r="AM14">
        <v>0.61715306716256624</v>
      </c>
      <c r="AN14">
        <v>0.61715306716256624</v>
      </c>
      <c r="AO14">
        <v>24.254298210951923</v>
      </c>
      <c r="AP14">
        <v>34.358031359740245</v>
      </c>
      <c r="AQ14">
        <v>34.334590710262546</v>
      </c>
      <c r="AR14">
        <v>34.782704998823434</v>
      </c>
      <c r="AS14">
        <v>36.234131912933535</v>
      </c>
      <c r="AT14">
        <v>0.9655676281195712</v>
      </c>
      <c r="AU14">
        <v>0.9655676281195712</v>
      </c>
      <c r="AV14">
        <v>0.29798407956954559</v>
      </c>
      <c r="AW14">
        <v>0.29798407956954559</v>
      </c>
      <c r="AX14">
        <v>24.42419921010347</v>
      </c>
      <c r="AY14">
        <v>34.216924908082262</v>
      </c>
      <c r="AZ14">
        <v>34.379318429332947</v>
      </c>
      <c r="BA14">
        <v>35.206749006894213</v>
      </c>
      <c r="BB14">
        <v>37.72680095194216</v>
      </c>
      <c r="BC14">
        <v>0.67347149781507554</v>
      </c>
      <c r="BD14">
        <v>0.67347149781507554</v>
      </c>
      <c r="BE14">
        <v>1.7929322344620318</v>
      </c>
      <c r="BF14">
        <v>1.7929322344620318</v>
      </c>
      <c r="BG14">
        <v>23.924578929703681</v>
      </c>
      <c r="BH14">
        <v>34.550916662485712</v>
      </c>
      <c r="BI14">
        <v>34.551184467971574</v>
      </c>
      <c r="BJ14">
        <v>34.216454045255155</v>
      </c>
      <c r="BK14">
        <v>35.934586640562777</v>
      </c>
      <c r="BL14">
        <v>0.51186172119689433</v>
      </c>
      <c r="BM14">
        <v>0.51186172119689433</v>
      </c>
      <c r="BN14">
        <v>1.5965562527145407</v>
      </c>
      <c r="BO14">
        <v>1.5965562527145407</v>
      </c>
      <c r="BP14">
        <v>25.513357537336809</v>
      </c>
      <c r="BQ14">
        <v>33.839595077811687</v>
      </c>
      <c r="BR14">
        <v>33.723483134396794</v>
      </c>
      <c r="BS14">
        <v>34.222108678116477</v>
      </c>
      <c r="BT14">
        <v>35.934304631574093</v>
      </c>
      <c r="BU14">
        <v>0.51555562651350106</v>
      </c>
      <c r="BV14">
        <v>0.51555562651350106</v>
      </c>
      <c r="BW14">
        <v>1.5904673481606215</v>
      </c>
      <c r="BX14">
        <v>1.5904673481606215</v>
      </c>
      <c r="BY14">
        <v>25.610570397645844</v>
      </c>
      <c r="BZ14">
        <v>33.838064423217766</v>
      </c>
      <c r="CA14">
        <v>33.723483134396794</v>
      </c>
      <c r="CB14">
        <v>33.543530574213406</v>
      </c>
      <c r="CC14">
        <v>35.128979727802019</v>
      </c>
      <c r="CD14">
        <v>0.73666306144181837</v>
      </c>
      <c r="CE14">
        <v>0.73666306144181837</v>
      </c>
      <c r="CF14">
        <v>2.751329219669076</v>
      </c>
      <c r="CG14">
        <v>2.751329219669076</v>
      </c>
      <c r="CH14">
        <v>25.27007777030332</v>
      </c>
      <c r="CI14">
        <v>33.02940269977617</v>
      </c>
      <c r="CJ14">
        <v>32.898792279634215</v>
      </c>
      <c r="CK14">
        <v>33.549215808136445</v>
      </c>
      <c r="CL14">
        <v>35.127716179142134</v>
      </c>
      <c r="CM14">
        <v>0.74386466295575238</v>
      </c>
      <c r="CN14">
        <v>0.74386466295575238</v>
      </c>
      <c r="CO14">
        <v>2.736423875564908</v>
      </c>
      <c r="CP14">
        <v>2.736423875564908</v>
      </c>
      <c r="CQ14">
        <v>25.372716802147707</v>
      </c>
      <c r="CR14">
        <v>33.02601498120972</v>
      </c>
      <c r="CS14">
        <v>32.898792279634215</v>
      </c>
      <c r="CT14">
        <v>35.339744537436246</v>
      </c>
      <c r="CU14">
        <v>35.547126880910298</v>
      </c>
      <c r="CV14">
        <v>0.57553913607559792</v>
      </c>
      <c r="CW14">
        <v>0.57553913607559792</v>
      </c>
      <c r="CX14">
        <v>0.75763910982055793</v>
      </c>
      <c r="CY14">
        <v>0.75763910982055793</v>
      </c>
      <c r="CZ14">
        <v>23.631834586417799</v>
      </c>
      <c r="DA14">
        <v>34.875247935396757</v>
      </c>
      <c r="DB14">
        <v>34.102549353086189</v>
      </c>
      <c r="DC14">
        <v>35.342296808714067</v>
      </c>
      <c r="DD14">
        <v>35.548408957757012</v>
      </c>
      <c r="DE14">
        <v>0.57796883183410808</v>
      </c>
      <c r="DF14">
        <v>0.57796883183410808</v>
      </c>
      <c r="DG14">
        <v>0.75414729741489595</v>
      </c>
      <c r="DH14">
        <v>0.75414729741489595</v>
      </c>
      <c r="DI14">
        <v>23.761731206897352</v>
      </c>
      <c r="DJ14">
        <v>34.873733564229966</v>
      </c>
      <c r="DK14">
        <v>34.102549353086189</v>
      </c>
      <c r="DL14">
        <v>35.02120271356879</v>
      </c>
      <c r="DM14">
        <v>36.677736154434847</v>
      </c>
      <c r="DN14">
        <v>0.51238768880575325</v>
      </c>
      <c r="DO14">
        <v>0.51238768880575325</v>
      </c>
      <c r="DP14">
        <v>1.3237181244935927</v>
      </c>
      <c r="DQ14">
        <v>1.3237181244935927</v>
      </c>
      <c r="DR14">
        <v>24.564219959881029</v>
      </c>
      <c r="DS14">
        <v>34.575692539989873</v>
      </c>
      <c r="DT14">
        <v>34.04578332065087</v>
      </c>
      <c r="DU14">
        <v>35.025289640103971</v>
      </c>
      <c r="DV14">
        <v>36.677616757050266</v>
      </c>
      <c r="DW14">
        <v>0.51453960000008125</v>
      </c>
      <c r="DX14">
        <v>0.51453960000008125</v>
      </c>
      <c r="DY14">
        <v>1.3198661924994879</v>
      </c>
      <c r="DZ14">
        <v>1.3198661924994879</v>
      </c>
      <c r="EA14">
        <v>24.67737706508159</v>
      </c>
      <c r="EB14">
        <v>34.574753877758752</v>
      </c>
      <c r="EC14">
        <v>34.04578332065087</v>
      </c>
      <c r="ED14">
        <v>34.006346867642868</v>
      </c>
      <c r="EE14">
        <v>36.237560215713003</v>
      </c>
      <c r="EF14">
        <v>0.70882827642156832</v>
      </c>
      <c r="EG14">
        <v>0.70882827642156832</v>
      </c>
      <c r="EH14">
        <v>0.4748292397612634</v>
      </c>
      <c r="EI14">
        <v>0.4748292397612634</v>
      </c>
      <c r="EJ14">
        <v>26.241993599766523</v>
      </c>
      <c r="EK14">
        <v>33.272684413382564</v>
      </c>
      <c r="EL14">
        <v>32.723766382725302</v>
      </c>
      <c r="EM14">
        <v>34.016287731471031</v>
      </c>
      <c r="EN14">
        <v>36.237326677333314</v>
      </c>
      <c r="EO14">
        <v>0.7148198337945777</v>
      </c>
      <c r="EP14">
        <v>0.7148198337945777</v>
      </c>
      <c r="EQ14">
        <v>0.4664166704584109</v>
      </c>
      <c r="ER14">
        <v>0.4664166704584109</v>
      </c>
      <c r="ES14">
        <v>26.344222900598577</v>
      </c>
      <c r="ET14">
        <v>33.271170087833262</v>
      </c>
      <c r="EU14">
        <v>32.723766382725302</v>
      </c>
      <c r="EV14">
        <v>34.953173173987601</v>
      </c>
      <c r="EW14">
        <v>35.258239335746531</v>
      </c>
      <c r="EX14">
        <v>0.55900805336388704</v>
      </c>
      <c r="EY14">
        <v>0.55900805336388704</v>
      </c>
      <c r="EZ14">
        <v>1.1379871197844784</v>
      </c>
      <c r="FA14">
        <v>1.1379871197844784</v>
      </c>
      <c r="FB14">
        <v>24.204247456545588</v>
      </c>
      <c r="FC14">
        <v>34.344739057076325</v>
      </c>
      <c r="FD14">
        <v>33.66098787719973</v>
      </c>
      <c r="FE14">
        <v>34.93032587202169</v>
      </c>
      <c r="FF14">
        <v>35.247762495350891</v>
      </c>
      <c r="FG14">
        <v>0.54956069795961904</v>
      </c>
      <c r="FH14">
        <v>0.54956069795961904</v>
      </c>
      <c r="FI14">
        <v>1.1534123348913172</v>
      </c>
      <c r="FJ14">
        <v>1.1534123348913172</v>
      </c>
      <c r="FK14">
        <v>23.958624895592077</v>
      </c>
      <c r="FL14">
        <v>34.344185709721877</v>
      </c>
      <c r="FM14">
        <v>33.66098787719973</v>
      </c>
    </row>
    <row r="15" spans="1:169">
      <c r="A15">
        <v>839</v>
      </c>
      <c r="B15">
        <v>25.776648762606253</v>
      </c>
      <c r="C15">
        <v>25.823351237393737</v>
      </c>
      <c r="D15">
        <v>0.57766487626062601</v>
      </c>
      <c r="E15">
        <v>8.7664876260625996E-2</v>
      </c>
      <c r="F15">
        <v>8.7664876260626023</v>
      </c>
      <c r="G15">
        <v>1.055532975252125</v>
      </c>
      <c r="H15">
        <v>1.3</v>
      </c>
      <c r="I15">
        <v>0.36499599683467238</v>
      </c>
      <c r="J15">
        <v>0.36499599683467238</v>
      </c>
      <c r="K15">
        <v>0.70540103024902556</v>
      </c>
      <c r="L15">
        <v>0.68629445732777095</v>
      </c>
      <c r="M15">
        <v>0.70540103024902556</v>
      </c>
      <c r="N15">
        <v>34.764970339721145</v>
      </c>
      <c r="O15">
        <v>36.208088387363887</v>
      </c>
      <c r="P15">
        <v>20.33595275810513</v>
      </c>
      <c r="Q15">
        <v>1.4198817390701279</v>
      </c>
      <c r="R15">
        <v>0.465742234820612</v>
      </c>
      <c r="S15">
        <v>24.729948126034724</v>
      </c>
      <c r="T15">
        <v>143.5596687057789</v>
      </c>
      <c r="U15">
        <v>-25.095336936199349</v>
      </c>
      <c r="V15">
        <v>-32.622983660550915</v>
      </c>
      <c r="W15">
        <v>4.0513862663514999</v>
      </c>
      <c r="X15">
        <v>-12.61289356815128</v>
      </c>
      <c r="Y15">
        <v>-57.4738838029213</v>
      </c>
      <c r="Z15">
        <v>34.969493037118951</v>
      </c>
      <c r="AA15">
        <v>36.546443533952448</v>
      </c>
      <c r="AB15">
        <v>0.79800144439238085</v>
      </c>
      <c r="AC15">
        <v>0.79800144439238085</v>
      </c>
      <c r="AD15">
        <v>0.37993290522236212</v>
      </c>
      <c r="AE15">
        <v>0.37993290522236212</v>
      </c>
      <c r="AF15">
        <v>22.878162935632417</v>
      </c>
      <c r="AG15">
        <v>34.488579923704741</v>
      </c>
      <c r="AH15">
        <v>33.902648313987122</v>
      </c>
      <c r="AI15">
        <v>34.927441399111032</v>
      </c>
      <c r="AJ15">
        <v>36.260727370401895</v>
      </c>
      <c r="AK15">
        <v>0.96365038449804719</v>
      </c>
      <c r="AL15">
        <v>0.96365038449804719</v>
      </c>
      <c r="AM15">
        <v>0.58319324975445896</v>
      </c>
      <c r="AN15">
        <v>0.58319324975445896</v>
      </c>
      <c r="AO15">
        <v>24.25047984063529</v>
      </c>
      <c r="AP15">
        <v>34.358031359740245</v>
      </c>
      <c r="AQ15">
        <v>34.334590710262546</v>
      </c>
      <c r="AR15">
        <v>34.800935238729778</v>
      </c>
      <c r="AS15">
        <v>36.23625239871906</v>
      </c>
      <c r="AT15">
        <v>0.98764101220158962</v>
      </c>
      <c r="AU15">
        <v>0.98764101220158962</v>
      </c>
      <c r="AV15">
        <v>0.26195691848787361</v>
      </c>
      <c r="AW15">
        <v>0.26195691848787361</v>
      </c>
      <c r="AX15">
        <v>24.420208092625799</v>
      </c>
      <c r="AY15">
        <v>34.216924908082262</v>
      </c>
      <c r="AZ15">
        <v>34.379318429332947</v>
      </c>
      <c r="BA15">
        <v>35.223790575938146</v>
      </c>
      <c r="BB15">
        <v>37.728157499250855</v>
      </c>
      <c r="BC15">
        <v>0.68600802701381891</v>
      </c>
      <c r="BD15">
        <v>0.68600802701381891</v>
      </c>
      <c r="BE15">
        <v>1.7713875355360285</v>
      </c>
      <c r="BF15">
        <v>1.7713875355360285</v>
      </c>
      <c r="BG15">
        <v>23.919967733697121</v>
      </c>
      <c r="BH15">
        <v>34.550916662485712</v>
      </c>
      <c r="BI15">
        <v>34.551184467971574</v>
      </c>
      <c r="BJ15">
        <v>34.213128851387452</v>
      </c>
      <c r="BK15">
        <v>35.93750008663001</v>
      </c>
      <c r="BL15">
        <v>0.51384067879297968</v>
      </c>
      <c r="BM15">
        <v>0.51384067879297968</v>
      </c>
      <c r="BN15">
        <v>1.5884204568387077</v>
      </c>
      <c r="BO15">
        <v>1.5884204568387077</v>
      </c>
      <c r="BP15">
        <v>25.513660256308839</v>
      </c>
      <c r="BQ15">
        <v>33.839595077811687</v>
      </c>
      <c r="BR15">
        <v>33.723483134396794</v>
      </c>
      <c r="BS15">
        <v>34.218865408856381</v>
      </c>
      <c r="BT15">
        <v>35.937258788110348</v>
      </c>
      <c r="BU15">
        <v>0.51755967414729698</v>
      </c>
      <c r="BV15">
        <v>0.51755967414729698</v>
      </c>
      <c r="BW15">
        <v>1.5822934372418942</v>
      </c>
      <c r="BX15">
        <v>1.5822934372418942</v>
      </c>
      <c r="BY15">
        <v>25.610855109744961</v>
      </c>
      <c r="BZ15">
        <v>33.838064423217766</v>
      </c>
      <c r="CA15">
        <v>33.723483134396794</v>
      </c>
      <c r="CB15">
        <v>33.544246311175726</v>
      </c>
      <c r="CC15">
        <v>35.133783576612416</v>
      </c>
      <c r="CD15">
        <v>0.74068460521722512</v>
      </c>
      <c r="CE15">
        <v>0.74068460521722512</v>
      </c>
      <c r="CF15">
        <v>2.7537520578060057</v>
      </c>
      <c r="CG15">
        <v>2.7537520578060057</v>
      </c>
      <c r="CH15">
        <v>25.26996759404642</v>
      </c>
      <c r="CI15">
        <v>33.02940269977617</v>
      </c>
      <c r="CJ15">
        <v>32.898792279634215</v>
      </c>
      <c r="CK15">
        <v>33.550076268321973</v>
      </c>
      <c r="CL15">
        <v>35.13258949139874</v>
      </c>
      <c r="CM15">
        <v>0.74798182623402409</v>
      </c>
      <c r="CN15">
        <v>0.74798182623402409</v>
      </c>
      <c r="CO15">
        <v>2.7386166790865132</v>
      </c>
      <c r="CP15">
        <v>2.7386166790865132</v>
      </c>
      <c r="CQ15">
        <v>25.372588339574037</v>
      </c>
      <c r="CR15">
        <v>33.02601498120972</v>
      </c>
      <c r="CS15">
        <v>32.898792279634215</v>
      </c>
      <c r="CT15">
        <v>35.347123251659966</v>
      </c>
      <c r="CU15">
        <v>35.562772748322253</v>
      </c>
      <c r="CV15">
        <v>0.5838336633710508</v>
      </c>
      <c r="CW15">
        <v>0.5838336633710508</v>
      </c>
      <c r="CX15">
        <v>0.74100180783176528</v>
      </c>
      <c r="CY15">
        <v>0.74100180783176528</v>
      </c>
      <c r="CZ15">
        <v>23.6295049233734</v>
      </c>
      <c r="DA15">
        <v>34.875247935396757</v>
      </c>
      <c r="DB15">
        <v>34.102549353086189</v>
      </c>
      <c r="DC15">
        <v>35.349697282858124</v>
      </c>
      <c r="DD15">
        <v>35.564180554665462</v>
      </c>
      <c r="DE15">
        <v>0.58627332912120522</v>
      </c>
      <c r="DF15">
        <v>0.58627332912120522</v>
      </c>
      <c r="DG15">
        <v>0.73750612074453148</v>
      </c>
      <c r="DH15">
        <v>0.73750612074453148</v>
      </c>
      <c r="DI15">
        <v>23.759439392315791</v>
      </c>
      <c r="DJ15">
        <v>34.873733564229966</v>
      </c>
      <c r="DK15">
        <v>34.102549353086189</v>
      </c>
      <c r="DL15">
        <v>35.026814429132017</v>
      </c>
      <c r="DM15">
        <v>36.679344536574497</v>
      </c>
      <c r="DN15">
        <v>0.5168488346668898</v>
      </c>
      <c r="DO15">
        <v>0.5168488346668898</v>
      </c>
      <c r="DP15">
        <v>1.3157337062878522</v>
      </c>
      <c r="DQ15">
        <v>1.3157337062878522</v>
      </c>
      <c r="DR15">
        <v>24.562841194577075</v>
      </c>
      <c r="DS15">
        <v>34.575692539989873</v>
      </c>
      <c r="DT15">
        <v>34.04578332065087</v>
      </c>
      <c r="DU15">
        <v>35.030961831324234</v>
      </c>
      <c r="DV15">
        <v>36.679232267025057</v>
      </c>
      <c r="DW15">
        <v>0.51899641248618478</v>
      </c>
      <c r="DX15">
        <v>0.51899641248618478</v>
      </c>
      <c r="DY15">
        <v>1.3118915458269145</v>
      </c>
      <c r="DZ15">
        <v>1.3118915458269145</v>
      </c>
      <c r="EA15">
        <v>24.67600988094528</v>
      </c>
      <c r="EB15">
        <v>34.574753877758752</v>
      </c>
      <c r="EC15">
        <v>34.04578332065087</v>
      </c>
      <c r="ED15">
        <v>34.014831947844158</v>
      </c>
      <c r="EE15">
        <v>36.240755095445877</v>
      </c>
      <c r="EF15">
        <v>0.71403508903458457</v>
      </c>
      <c r="EG15">
        <v>0.71403508903458457</v>
      </c>
      <c r="EH15">
        <v>0.46155598771776529</v>
      </c>
      <c r="EI15">
        <v>0.46155598771776529</v>
      </c>
      <c r="EJ15">
        <v>26.241394925352509</v>
      </c>
      <c r="EK15">
        <v>33.272684413382564</v>
      </c>
      <c r="EL15">
        <v>32.723766382725302</v>
      </c>
      <c r="EM15">
        <v>34.024980888341176</v>
      </c>
      <c r="EN15">
        <v>36.240554612385488</v>
      </c>
      <c r="EO15">
        <v>0.7200748723972108</v>
      </c>
      <c r="EP15">
        <v>0.7200748723972108</v>
      </c>
      <c r="EQ15">
        <v>0.4530981667937814</v>
      </c>
      <c r="ER15">
        <v>0.4530981667937814</v>
      </c>
      <c r="ES15">
        <v>26.34363779266933</v>
      </c>
      <c r="ET15">
        <v>33.271170087833262</v>
      </c>
      <c r="EU15">
        <v>32.723766382725302</v>
      </c>
      <c r="EV15">
        <v>34.964106863667674</v>
      </c>
      <c r="EW15">
        <v>35.279658537064797</v>
      </c>
      <c r="EX15">
        <v>0.56625702141476841</v>
      </c>
      <c r="EY15">
        <v>0.56625702141476841</v>
      </c>
      <c r="EZ15">
        <v>1.1234859907288728</v>
      </c>
      <c r="FA15">
        <v>1.1234859907288728</v>
      </c>
      <c r="FB15">
        <v>24.200747119401555</v>
      </c>
      <c r="FC15">
        <v>34.344739057076325</v>
      </c>
      <c r="FD15">
        <v>33.66098787719973</v>
      </c>
      <c r="FE15">
        <v>34.941020351225951</v>
      </c>
      <c r="FF15">
        <v>35.268412617530039</v>
      </c>
      <c r="FG15">
        <v>0.55677570585524183</v>
      </c>
      <c r="FH15">
        <v>0.55677570585524183</v>
      </c>
      <c r="FI15">
        <v>1.138911284534434</v>
      </c>
      <c r="FJ15">
        <v>1.138911284534434</v>
      </c>
      <c r="FK15">
        <v>23.954852024043522</v>
      </c>
      <c r="FL15">
        <v>34.344185709721877</v>
      </c>
      <c r="FM15">
        <v>33.66098787719973</v>
      </c>
    </row>
    <row r="16" spans="1:169">
      <c r="A16">
        <v>899</v>
      </c>
      <c r="B16">
        <v>25.776648762606253</v>
      </c>
      <c r="C16">
        <v>25.823351237393737</v>
      </c>
      <c r="D16">
        <v>0.57766487626062601</v>
      </c>
      <c r="E16">
        <v>8.7664876260625996E-2</v>
      </c>
      <c r="F16">
        <v>8.7664876260626023</v>
      </c>
      <c r="G16">
        <v>1.055532975252125</v>
      </c>
      <c r="H16">
        <v>1.3</v>
      </c>
      <c r="I16">
        <v>0.34435959200721311</v>
      </c>
      <c r="J16">
        <v>0.34435959200721311</v>
      </c>
      <c r="K16">
        <v>0.71402861509354365</v>
      </c>
      <c r="L16">
        <v>0.69362206425655115</v>
      </c>
      <c r="M16">
        <v>0.71402861509354365</v>
      </c>
      <c r="N16">
        <v>34.773927793283072</v>
      </c>
      <c r="O16">
        <v>36.20995549278723</v>
      </c>
      <c r="P16">
        <v>20.33595275810513</v>
      </c>
      <c r="Q16">
        <v>1.4198817390701279</v>
      </c>
      <c r="R16">
        <v>0.465742234820612</v>
      </c>
      <c r="S16">
        <v>24.72814309964615</v>
      </c>
      <c r="T16">
        <v>143.5596687057789</v>
      </c>
      <c r="U16">
        <v>-25.115807572396477</v>
      </c>
      <c r="V16">
        <v>-32.651563227154881</v>
      </c>
      <c r="W16">
        <v>4.0513862663514999</v>
      </c>
      <c r="X16">
        <v>-12.614520555520484</v>
      </c>
      <c r="Y16">
        <v>-58.139798265524121</v>
      </c>
      <c r="Z16">
        <v>34.976407556874172</v>
      </c>
      <c r="AA16">
        <v>36.54874143458985</v>
      </c>
      <c r="AB16">
        <v>0.80836729589072842</v>
      </c>
      <c r="AC16">
        <v>0.80836729589072842</v>
      </c>
      <c r="AD16">
        <v>0.36386889864617222</v>
      </c>
      <c r="AE16">
        <v>0.36386889864617222</v>
      </c>
      <c r="AF16">
        <v>22.875741287661999</v>
      </c>
      <c r="AG16">
        <v>34.488579923704741</v>
      </c>
      <c r="AH16">
        <v>33.902648313987122</v>
      </c>
      <c r="AI16">
        <v>34.944244971869772</v>
      </c>
      <c r="AJ16">
        <v>36.26276906741198</v>
      </c>
      <c r="AK16">
        <v>0.98429533277310599</v>
      </c>
      <c r="AL16">
        <v>0.98429533277310599</v>
      </c>
      <c r="AM16">
        <v>0.55109542454232452</v>
      </c>
      <c r="AN16">
        <v>0.55109542454232452</v>
      </c>
      <c r="AO16">
        <v>24.246809128995768</v>
      </c>
      <c r="AP16">
        <v>34.358031359740245</v>
      </c>
      <c r="AQ16">
        <v>34.334590710262546</v>
      </c>
      <c r="AR16">
        <v>34.818435062640845</v>
      </c>
      <c r="AS16">
        <v>36.238285959255919</v>
      </c>
      <c r="AT16">
        <v>1.008522905023868</v>
      </c>
      <c r="AU16">
        <v>1.008522905023868</v>
      </c>
      <c r="AV16">
        <v>0.2280732590781735</v>
      </c>
      <c r="AW16">
        <v>0.2280732590781735</v>
      </c>
      <c r="AX16">
        <v>24.416376753039145</v>
      </c>
      <c r="AY16">
        <v>34.216924908082262</v>
      </c>
      <c r="AZ16">
        <v>34.379318429332947</v>
      </c>
      <c r="BA16">
        <v>35.240099496076319</v>
      </c>
      <c r="BB16">
        <v>37.729545727039387</v>
      </c>
      <c r="BC16">
        <v>0.69783796681921251</v>
      </c>
      <c r="BD16">
        <v>0.69783796681921251</v>
      </c>
      <c r="BE16">
        <v>1.7509776661891303</v>
      </c>
      <c r="BF16">
        <v>1.7509776661891303</v>
      </c>
      <c r="BG16">
        <v>23.915554616359699</v>
      </c>
      <c r="BH16">
        <v>34.550916662485712</v>
      </c>
      <c r="BI16">
        <v>34.551184467971574</v>
      </c>
      <c r="BJ16">
        <v>34.209157205910245</v>
      </c>
      <c r="BK16">
        <v>35.940515182737087</v>
      </c>
      <c r="BL16">
        <v>0.51545139554072561</v>
      </c>
      <c r="BM16">
        <v>0.51545139554072561</v>
      </c>
      <c r="BN16">
        <v>1.5812477927316335</v>
      </c>
      <c r="BO16">
        <v>1.5812477927316335</v>
      </c>
      <c r="BP16">
        <v>25.514022402054689</v>
      </c>
      <c r="BQ16">
        <v>33.839595077811687</v>
      </c>
      <c r="BR16">
        <v>33.723483134396794</v>
      </c>
      <c r="BS16">
        <v>34.214964439644675</v>
      </c>
      <c r="BT16">
        <v>35.940316655521023</v>
      </c>
      <c r="BU16">
        <v>0.51919309596715024</v>
      </c>
      <c r="BV16">
        <v>0.51919309596715024</v>
      </c>
      <c r="BW16">
        <v>1.5750866472426028</v>
      </c>
      <c r="BX16">
        <v>1.5750866472426028</v>
      </c>
      <c r="BY16">
        <v>25.611198129802386</v>
      </c>
      <c r="BZ16">
        <v>33.838064423217766</v>
      </c>
      <c r="CA16">
        <v>33.723483134396794</v>
      </c>
      <c r="CB16">
        <v>33.54396174362418</v>
      </c>
      <c r="CC16">
        <v>35.138777821973619</v>
      </c>
      <c r="CD16">
        <v>0.74375990002036074</v>
      </c>
      <c r="CE16">
        <v>0.74375990002036074</v>
      </c>
      <c r="CF16">
        <v>2.757332106160451</v>
      </c>
      <c r="CG16">
        <v>2.757332106160451</v>
      </c>
      <c r="CH16">
        <v>25.270008084618159</v>
      </c>
      <c r="CI16">
        <v>33.02940269977617</v>
      </c>
      <c r="CJ16">
        <v>32.898792279634215</v>
      </c>
      <c r="CK16">
        <v>33.549921535802106</v>
      </c>
      <c r="CL16">
        <v>35.137657018188108</v>
      </c>
      <c r="CM16">
        <v>0.75116473586166332</v>
      </c>
      <c r="CN16">
        <v>0.75116473586166332</v>
      </c>
      <c r="CO16">
        <v>2.7419444811663318</v>
      </c>
      <c r="CP16">
        <v>2.7419444811663318</v>
      </c>
      <c r="CQ16">
        <v>25.372608779888203</v>
      </c>
      <c r="CR16">
        <v>33.02601498120972</v>
      </c>
      <c r="CS16">
        <v>32.898792279634215</v>
      </c>
      <c r="CT16">
        <v>35.353904946816769</v>
      </c>
      <c r="CU16">
        <v>35.577123638263416</v>
      </c>
      <c r="CV16">
        <v>0.59150255428868359</v>
      </c>
      <c r="CW16">
        <v>0.59150255428868359</v>
      </c>
      <c r="CX16">
        <v>0.72567137038492002</v>
      </c>
      <c r="CY16">
        <v>0.72567137038492002</v>
      </c>
      <c r="CZ16">
        <v>23.627363840750636</v>
      </c>
      <c r="DA16">
        <v>34.875247935396757</v>
      </c>
      <c r="DB16">
        <v>34.102549353086189</v>
      </c>
      <c r="DC16">
        <v>35.356495269797243</v>
      </c>
      <c r="DD16">
        <v>35.57864187654841</v>
      </c>
      <c r="DE16">
        <v>0.59394940768238991</v>
      </c>
      <c r="DF16">
        <v>0.59394940768238991</v>
      </c>
      <c r="DG16">
        <v>0.72217474415693617</v>
      </c>
      <c r="DH16">
        <v>0.72217474415693617</v>
      </c>
      <c r="DI16">
        <v>23.757334244046099</v>
      </c>
      <c r="DJ16">
        <v>34.873733564229966</v>
      </c>
      <c r="DK16">
        <v>34.102549353086189</v>
      </c>
      <c r="DL16">
        <v>35.031466993068911</v>
      </c>
      <c r="DM16">
        <v>36.681009905460648</v>
      </c>
      <c r="DN16">
        <v>0.52099281554523591</v>
      </c>
      <c r="DO16">
        <v>0.52099281554523591</v>
      </c>
      <c r="DP16">
        <v>1.3083207833146795</v>
      </c>
      <c r="DQ16">
        <v>1.3083207833146795</v>
      </c>
      <c r="DR16">
        <v>24.56169809370715</v>
      </c>
      <c r="DS16">
        <v>34.575692539989873</v>
      </c>
      <c r="DT16">
        <v>34.04578332065087</v>
      </c>
      <c r="DU16">
        <v>35.035663084403559</v>
      </c>
      <c r="DV16">
        <v>36.680905321734777</v>
      </c>
      <c r="DW16">
        <v>0.52313615946462999</v>
      </c>
      <c r="DX16">
        <v>0.52313615946462999</v>
      </c>
      <c r="DY16">
        <v>1.3044882509859024</v>
      </c>
      <c r="DZ16">
        <v>1.3044882509859024</v>
      </c>
      <c r="EA16">
        <v>24.67487672996187</v>
      </c>
      <c r="EB16">
        <v>34.574753877758752</v>
      </c>
      <c r="EC16">
        <v>34.04578332065087</v>
      </c>
      <c r="ED16">
        <v>34.021467874310211</v>
      </c>
      <c r="EE16">
        <v>36.244106237604313</v>
      </c>
      <c r="EF16">
        <v>0.71861396994482929</v>
      </c>
      <c r="EG16">
        <v>0.71861396994482929</v>
      </c>
      <c r="EH16">
        <v>0.44963525285691158</v>
      </c>
      <c r="EI16">
        <v>0.44963525285691158</v>
      </c>
      <c r="EJ16">
        <v>26.240926612982733</v>
      </c>
      <c r="EK16">
        <v>33.272684413382564</v>
      </c>
      <c r="EL16">
        <v>32.723766382725302</v>
      </c>
      <c r="EM16">
        <v>34.031798524994471</v>
      </c>
      <c r="EN16">
        <v>36.243941271242797</v>
      </c>
      <c r="EO16">
        <v>0.72469739903093622</v>
      </c>
      <c r="EP16">
        <v>0.72469739903093622</v>
      </c>
      <c r="EQ16">
        <v>0.44113661829729378</v>
      </c>
      <c r="ER16">
        <v>0.44113661829729378</v>
      </c>
      <c r="ES16">
        <v>26.343178820620619</v>
      </c>
      <c r="ET16">
        <v>33.271170087833262</v>
      </c>
      <c r="EU16">
        <v>32.723766382725302</v>
      </c>
      <c r="EV16">
        <v>34.974112711641155</v>
      </c>
      <c r="EW16">
        <v>35.299953483053578</v>
      </c>
      <c r="EX16">
        <v>0.57301708861149692</v>
      </c>
      <c r="EY16">
        <v>0.57301708861149692</v>
      </c>
      <c r="EZ16">
        <v>1.1100341187951539</v>
      </c>
      <c r="FA16">
        <v>1.1100341187951539</v>
      </c>
      <c r="FB16">
        <v>24.197544101770891</v>
      </c>
      <c r="FC16">
        <v>34.344739057076325</v>
      </c>
      <c r="FD16">
        <v>33.66098787719973</v>
      </c>
      <c r="FE16">
        <v>34.950828213652635</v>
      </c>
      <c r="FF16">
        <v>35.287991297452351</v>
      </c>
      <c r="FG16">
        <v>0.56350728080416301</v>
      </c>
      <c r="FH16">
        <v>0.56350728080416301</v>
      </c>
      <c r="FI16">
        <v>1.1254551135470181</v>
      </c>
      <c r="FJ16">
        <v>1.1254551135470181</v>
      </c>
      <c r="FK16">
        <v>23.951392230416491</v>
      </c>
      <c r="FL16">
        <v>34.344185709721877</v>
      </c>
      <c r="FM16">
        <v>33.66098787719973</v>
      </c>
    </row>
    <row r="17" spans="1:169">
      <c r="A17">
        <v>959</v>
      </c>
      <c r="B17">
        <v>25.776648762606253</v>
      </c>
      <c r="C17">
        <v>25.823351237393737</v>
      </c>
      <c r="D17">
        <v>0.57766487626062601</v>
      </c>
      <c r="E17">
        <v>8.7664876260625996E-2</v>
      </c>
      <c r="F17">
        <v>8.7664876260626023</v>
      </c>
      <c r="G17">
        <v>1.055532975252125</v>
      </c>
      <c r="H17">
        <v>1.3</v>
      </c>
      <c r="I17">
        <v>0.3111881797982381</v>
      </c>
      <c r="J17">
        <v>0.3111881797982381</v>
      </c>
      <c r="K17">
        <v>0.74185938541822682</v>
      </c>
      <c r="L17">
        <v>0.70437322100626087</v>
      </c>
      <c r="M17">
        <v>0.74185938541822682</v>
      </c>
      <c r="N17">
        <v>34.782126681032153</v>
      </c>
      <c r="O17">
        <v>36.211758828824507</v>
      </c>
      <c r="P17">
        <v>20.33595275810513</v>
      </c>
      <c r="Q17">
        <v>1.4198817390701279</v>
      </c>
      <c r="R17">
        <v>0.465742234820612</v>
      </c>
      <c r="S17">
        <v>24.726462054115583</v>
      </c>
      <c r="T17">
        <v>143.5596687057789</v>
      </c>
      <c r="U17">
        <v>-25.13416348817336</v>
      </c>
      <c r="V17">
        <v>-32.677453452401153</v>
      </c>
      <c r="W17">
        <v>4.0513862663514999</v>
      </c>
      <c r="X17">
        <v>-12.616086930691589</v>
      </c>
      <c r="Y17">
        <v>-58.714164744893921</v>
      </c>
      <c r="Z17">
        <v>34.983871394903723</v>
      </c>
      <c r="AA17">
        <v>36.55096683361058</v>
      </c>
      <c r="AB17">
        <v>0.82461314303174138</v>
      </c>
      <c r="AC17">
        <v>0.82461314303174138</v>
      </c>
      <c r="AD17">
        <v>0.33766105541785052</v>
      </c>
      <c r="AE17">
        <v>0.33766105541785052</v>
      </c>
      <c r="AF17">
        <v>22.873144987966889</v>
      </c>
      <c r="AG17">
        <v>34.488579923704741</v>
      </c>
      <c r="AH17">
        <v>33.902648313987122</v>
      </c>
      <c r="AI17">
        <v>34.960357373017317</v>
      </c>
      <c r="AJ17">
        <v>36.264734585886927</v>
      </c>
      <c r="AK17">
        <v>1.0071732534183635</v>
      </c>
      <c r="AL17">
        <v>1.0071732534183635</v>
      </c>
      <c r="AM17">
        <v>0.51428149747679885</v>
      </c>
      <c r="AN17">
        <v>0.51428149747679885</v>
      </c>
      <c r="AO17">
        <v>24.243289300844992</v>
      </c>
      <c r="AP17">
        <v>34.358031359740245</v>
      </c>
      <c r="AQ17">
        <v>34.334590710262546</v>
      </c>
      <c r="AR17">
        <v>34.83520579877829</v>
      </c>
      <c r="AS17">
        <v>36.240240451977016</v>
      </c>
      <c r="AT17">
        <v>1.0316119442972775</v>
      </c>
      <c r="AU17">
        <v>1.0316119442972775</v>
      </c>
      <c r="AV17">
        <v>0.18263220340787911</v>
      </c>
      <c r="AW17">
        <v>0.18263220340787911</v>
      </c>
      <c r="AX17">
        <v>24.412704967710383</v>
      </c>
      <c r="AY17">
        <v>34.216924908082262</v>
      </c>
      <c r="AZ17">
        <v>34.379318429332947</v>
      </c>
      <c r="BA17">
        <v>35.255677068192625</v>
      </c>
      <c r="BB17">
        <v>37.730960284806073</v>
      </c>
      <c r="BC17">
        <v>0.71233023724950328</v>
      </c>
      <c r="BD17">
        <v>0.71233023724950328</v>
      </c>
      <c r="BE17">
        <v>1.7258809680878899</v>
      </c>
      <c r="BF17">
        <v>1.7258809680878899</v>
      </c>
      <c r="BG17">
        <v>23.911339300785681</v>
      </c>
      <c r="BH17">
        <v>34.550916662485712</v>
      </c>
      <c r="BI17">
        <v>34.551184467971574</v>
      </c>
      <c r="BJ17">
        <v>34.204737922686249</v>
      </c>
      <c r="BK17">
        <v>35.943609239791158</v>
      </c>
      <c r="BL17">
        <v>0.52007268020041186</v>
      </c>
      <c r="BM17">
        <v>0.52007268020041186</v>
      </c>
      <c r="BN17">
        <v>1.5591180389417247</v>
      </c>
      <c r="BO17">
        <v>1.5591180389417247</v>
      </c>
      <c r="BP17">
        <v>25.514425713245203</v>
      </c>
      <c r="BQ17">
        <v>33.839595077811687</v>
      </c>
      <c r="BR17">
        <v>33.723483134396794</v>
      </c>
      <c r="BS17">
        <v>34.210606733045886</v>
      </c>
      <c r="BT17">
        <v>35.943455243615652</v>
      </c>
      <c r="BU17">
        <v>0.52383503114120256</v>
      </c>
      <c r="BV17">
        <v>0.52383503114120256</v>
      </c>
      <c r="BW17">
        <v>1.5529346690390291</v>
      </c>
      <c r="BX17">
        <v>1.5529346690390291</v>
      </c>
      <c r="BY17">
        <v>25.611581655849541</v>
      </c>
      <c r="BZ17">
        <v>33.838064423217766</v>
      </c>
      <c r="CA17">
        <v>33.723483134396794</v>
      </c>
      <c r="CB17">
        <v>33.542918443058312</v>
      </c>
      <c r="CC17">
        <v>35.143926320773659</v>
      </c>
      <c r="CD17">
        <v>0.74948118901134597</v>
      </c>
      <c r="CE17">
        <v>0.74948118901134597</v>
      </c>
      <c r="CF17">
        <v>2.7774203443333323</v>
      </c>
      <c r="CG17">
        <v>2.7774203443333323</v>
      </c>
      <c r="CH17">
        <v>25.27016285800822</v>
      </c>
      <c r="CI17">
        <v>33.02940269977617</v>
      </c>
      <c r="CJ17">
        <v>32.898792279634215</v>
      </c>
      <c r="CK17">
        <v>33.548995826891208</v>
      </c>
      <c r="CL17">
        <v>35.14288213159741</v>
      </c>
      <c r="CM17">
        <v>0.75696597141313893</v>
      </c>
      <c r="CN17">
        <v>0.75696597141313893</v>
      </c>
      <c r="CO17">
        <v>2.7617787328556318</v>
      </c>
      <c r="CP17">
        <v>2.7617787328556318</v>
      </c>
      <c r="CQ17">
        <v>25.372742304011904</v>
      </c>
      <c r="CR17">
        <v>33.02601498120972</v>
      </c>
      <c r="CS17">
        <v>32.898792279634215</v>
      </c>
      <c r="CT17">
        <v>35.36015251289912</v>
      </c>
      <c r="CU17">
        <v>35.590288205240903</v>
      </c>
      <c r="CV17">
        <v>0.60192899702296598</v>
      </c>
      <c r="CW17">
        <v>0.60192899702296598</v>
      </c>
      <c r="CX17">
        <v>0.69697404747831104</v>
      </c>
      <c r="CY17">
        <v>0.69697404747831104</v>
      </c>
      <c r="CZ17">
        <v>23.625391473743797</v>
      </c>
      <c r="DA17">
        <v>34.875247935396757</v>
      </c>
      <c r="DB17">
        <v>34.102549353086189</v>
      </c>
      <c r="DC17">
        <v>35.362754668653153</v>
      </c>
      <c r="DD17">
        <v>35.591903035230601</v>
      </c>
      <c r="DE17">
        <v>0.60438075914717215</v>
      </c>
      <c r="DF17">
        <v>0.60438075914717215</v>
      </c>
      <c r="DG17">
        <v>0.6934929620458723</v>
      </c>
      <c r="DH17">
        <v>0.6934929620458723</v>
      </c>
      <c r="DI17">
        <v>23.75539596425083</v>
      </c>
      <c r="DJ17">
        <v>34.873733564229966</v>
      </c>
      <c r="DK17">
        <v>34.102549353086189</v>
      </c>
      <c r="DL17">
        <v>35.035326035532279</v>
      </c>
      <c r="DM17">
        <v>36.68272833870391</v>
      </c>
      <c r="DN17">
        <v>0.52817182305500676</v>
      </c>
      <c r="DO17">
        <v>0.52817182305500676</v>
      </c>
      <c r="DP17">
        <v>1.2954884631255963</v>
      </c>
      <c r="DQ17">
        <v>1.2954884631255963</v>
      </c>
      <c r="DR17">
        <v>24.560749959391551</v>
      </c>
      <c r="DS17">
        <v>34.575692539989873</v>
      </c>
      <c r="DT17">
        <v>34.04578332065087</v>
      </c>
      <c r="DU17">
        <v>35.039561019453394</v>
      </c>
      <c r="DV17">
        <v>36.682631955551841</v>
      </c>
      <c r="DW17">
        <v>0.53031101767577971</v>
      </c>
      <c r="DX17">
        <v>0.53031101767577971</v>
      </c>
      <c r="DY17">
        <v>1.2916673025332766</v>
      </c>
      <c r="DZ17">
        <v>1.2916673025332766</v>
      </c>
      <c r="EA17">
        <v>24.673937206932059</v>
      </c>
      <c r="EB17">
        <v>34.574753877758752</v>
      </c>
      <c r="EC17">
        <v>34.04578332065087</v>
      </c>
      <c r="ED17">
        <v>34.026574569404978</v>
      </c>
      <c r="EE17">
        <v>36.24759900419037</v>
      </c>
      <c r="EF17">
        <v>0.7259686388213491</v>
      </c>
      <c r="EG17">
        <v>0.7259686388213491</v>
      </c>
      <c r="EH17">
        <v>0.42176918543866199</v>
      </c>
      <c r="EI17">
        <v>0.42176918543866199</v>
      </c>
      <c r="EJ17">
        <v>26.240566105713015</v>
      </c>
      <c r="EK17">
        <v>33.272684413382564</v>
      </c>
      <c r="EL17">
        <v>32.723766382725302</v>
      </c>
      <c r="EM17">
        <v>34.037064535644262</v>
      </c>
      <c r="EN17">
        <v>36.247471818308497</v>
      </c>
      <c r="EO17">
        <v>0.73209173239542169</v>
      </c>
      <c r="EP17">
        <v>0.73209173239542169</v>
      </c>
      <c r="EQ17">
        <v>0.4132712805689846</v>
      </c>
      <c r="ER17">
        <v>0.4132712805689846</v>
      </c>
      <c r="ES17">
        <v>26.342824198390449</v>
      </c>
      <c r="ET17">
        <v>33.271170087833262</v>
      </c>
      <c r="EU17">
        <v>32.723766382725302</v>
      </c>
      <c r="EV17">
        <v>34.983313158608794</v>
      </c>
      <c r="EW17">
        <v>35.319143134201063</v>
      </c>
      <c r="EX17">
        <v>0.58265003748664412</v>
      </c>
      <c r="EY17">
        <v>0.58265003748664412</v>
      </c>
      <c r="EZ17">
        <v>1.0865772596949741</v>
      </c>
      <c r="FA17">
        <v>1.0865772596949741</v>
      </c>
      <c r="FB17">
        <v>24.194599120813148</v>
      </c>
      <c r="FC17">
        <v>34.344739057076325</v>
      </c>
      <c r="FD17">
        <v>33.66098787719973</v>
      </c>
      <c r="FE17">
        <v>34.959864528087088</v>
      </c>
      <c r="FF17">
        <v>35.306516543728229</v>
      </c>
      <c r="FG17">
        <v>0.57311672172379602</v>
      </c>
      <c r="FH17">
        <v>0.57311672172379602</v>
      </c>
      <c r="FI17">
        <v>1.1019304084681529</v>
      </c>
      <c r="FJ17">
        <v>1.1019304084681529</v>
      </c>
      <c r="FK17">
        <v>23.948204832504992</v>
      </c>
      <c r="FL17">
        <v>34.344185709721877</v>
      </c>
      <c r="FM17">
        <v>33.66098787719973</v>
      </c>
    </row>
    <row r="18" spans="1:169">
      <c r="A18">
        <v>1019</v>
      </c>
      <c r="B18">
        <v>25.776648762606253</v>
      </c>
      <c r="C18">
        <v>25.823351237393737</v>
      </c>
      <c r="D18">
        <v>0.57766487626062601</v>
      </c>
      <c r="E18">
        <v>8.7664876260625996E-2</v>
      </c>
      <c r="F18">
        <v>8.7664876260626023</v>
      </c>
      <c r="G18">
        <v>1.055532975252125</v>
      </c>
      <c r="H18">
        <v>1.3</v>
      </c>
      <c r="I18">
        <v>0.27943330994874638</v>
      </c>
      <c r="J18">
        <v>0.27943330994874638</v>
      </c>
      <c r="K18">
        <v>0.75607928011755721</v>
      </c>
      <c r="L18">
        <v>0.71782850400116349</v>
      </c>
      <c r="M18">
        <v>0.75607928011755721</v>
      </c>
      <c r="N18">
        <v>34.789816225147362</v>
      </c>
      <c r="O18">
        <v>36.213540399264765</v>
      </c>
      <c r="P18">
        <v>20.33595275810513</v>
      </c>
      <c r="Q18">
        <v>1.4198817390701279</v>
      </c>
      <c r="R18">
        <v>0.465742234820612</v>
      </c>
      <c r="S18">
        <v>24.724831547117802</v>
      </c>
      <c r="T18">
        <v>143.5596687057789</v>
      </c>
      <c r="U18">
        <v>-25.15123072183</v>
      </c>
      <c r="V18">
        <v>-32.701668641923789</v>
      </c>
      <c r="W18">
        <v>4.0513862663514999</v>
      </c>
      <c r="X18">
        <v>-12.617603930475791</v>
      </c>
      <c r="Y18">
        <v>-59.238563508893861</v>
      </c>
      <c r="Z18">
        <v>34.993961697557282</v>
      </c>
      <c r="AA18">
        <v>36.553122958479932</v>
      </c>
      <c r="AB18">
        <v>0.84554923842162744</v>
      </c>
      <c r="AC18">
        <v>0.84554923842162744</v>
      </c>
      <c r="AD18">
        <v>0.30603824531514823</v>
      </c>
      <c r="AE18">
        <v>0.30603824531514823</v>
      </c>
      <c r="AF18">
        <v>22.869626641863739</v>
      </c>
      <c r="AG18">
        <v>34.488579923704741</v>
      </c>
      <c r="AH18">
        <v>33.902648313987122</v>
      </c>
      <c r="AI18">
        <v>34.975797985530917</v>
      </c>
      <c r="AJ18">
        <v>36.26663826863259</v>
      </c>
      <c r="AK18">
        <v>1.0317306409511509</v>
      </c>
      <c r="AL18">
        <v>1.0317306409511509</v>
      </c>
      <c r="AM18">
        <v>0.47598430264408931</v>
      </c>
      <c r="AN18">
        <v>0.47598430264408931</v>
      </c>
      <c r="AO18">
        <v>24.239916244511878</v>
      </c>
      <c r="AP18">
        <v>34.358031359740245</v>
      </c>
      <c r="AQ18">
        <v>34.334590710262546</v>
      </c>
      <c r="AR18">
        <v>34.851272977630842</v>
      </c>
      <c r="AS18">
        <v>36.242133689129837</v>
      </c>
      <c r="AT18">
        <v>1.0563632394280988</v>
      </c>
      <c r="AU18">
        <v>1.0563632394280988</v>
      </c>
      <c r="AV18">
        <v>0.1411209807269182</v>
      </c>
      <c r="AW18">
        <v>0.1411209807269182</v>
      </c>
      <c r="AX18">
        <v>24.409187239219811</v>
      </c>
      <c r="AY18">
        <v>34.216924908082262</v>
      </c>
      <c r="AZ18">
        <v>34.379318429332947</v>
      </c>
      <c r="BA18">
        <v>35.270550631889144</v>
      </c>
      <c r="BB18">
        <v>37.732397682840379</v>
      </c>
      <c r="BC18">
        <v>0.72890100618671649</v>
      </c>
      <c r="BD18">
        <v>0.72890100618671649</v>
      </c>
      <c r="BE18">
        <v>1.6970743481594319</v>
      </c>
      <c r="BF18">
        <v>1.6970743481594319</v>
      </c>
      <c r="BG18">
        <v>23.907314521793516</v>
      </c>
      <c r="BH18">
        <v>34.550916662485712</v>
      </c>
      <c r="BI18">
        <v>34.551184467971574</v>
      </c>
      <c r="BJ18">
        <v>34.200008356540799</v>
      </c>
      <c r="BK18">
        <v>35.946761400654715</v>
      </c>
      <c r="BL18">
        <v>0.52708399258694261</v>
      </c>
      <c r="BM18">
        <v>0.52708399258694261</v>
      </c>
      <c r="BN18">
        <v>1.5402138846222009</v>
      </c>
      <c r="BO18">
        <v>1.5402138846222009</v>
      </c>
      <c r="BP18">
        <v>25.514857555982658</v>
      </c>
      <c r="BQ18">
        <v>33.839595077811687</v>
      </c>
      <c r="BR18">
        <v>33.723483134396794</v>
      </c>
      <c r="BS18">
        <v>34.205931291327765</v>
      </c>
      <c r="BT18">
        <v>35.946653410865821</v>
      </c>
      <c r="BU18">
        <v>0.530865171957696</v>
      </c>
      <c r="BV18">
        <v>0.530865171957696</v>
      </c>
      <c r="BW18">
        <v>1.5340055509720028</v>
      </c>
      <c r="BX18">
        <v>1.5340055509720028</v>
      </c>
      <c r="BY18">
        <v>25.611993357523438</v>
      </c>
      <c r="BZ18">
        <v>33.838064423217766</v>
      </c>
      <c r="CA18">
        <v>33.723483134396794</v>
      </c>
      <c r="CB18">
        <v>33.541292071411284</v>
      </c>
      <c r="CC18">
        <v>35.149195401874742</v>
      </c>
      <c r="CD18">
        <v>0.75732380599261173</v>
      </c>
      <c r="CE18">
        <v>0.75732380599261173</v>
      </c>
      <c r="CF18">
        <v>2.7772779914833734</v>
      </c>
      <c r="CG18">
        <v>2.7772779914833734</v>
      </c>
      <c r="CH18">
        <v>25.27040543050186</v>
      </c>
      <c r="CI18">
        <v>33.02940269977617</v>
      </c>
      <c r="CJ18">
        <v>32.898792279634215</v>
      </c>
      <c r="CK18">
        <v>33.547476870635123</v>
      </c>
      <c r="CL18">
        <v>35.148230700786186</v>
      </c>
      <c r="CM18">
        <v>0.76488339856498255</v>
      </c>
      <c r="CN18">
        <v>0.76488339856498255</v>
      </c>
      <c r="CO18">
        <v>2.761430571849492</v>
      </c>
      <c r="CP18">
        <v>2.761430571849492</v>
      </c>
      <c r="CQ18">
        <v>25.372962818614443</v>
      </c>
      <c r="CR18">
        <v>33.02601498120972</v>
      </c>
      <c r="CS18">
        <v>32.898792279634215</v>
      </c>
      <c r="CT18">
        <v>35.365928320251207</v>
      </c>
      <c r="CU18">
        <v>35.602368603287438</v>
      </c>
      <c r="CV18">
        <v>0.61451971021670548</v>
      </c>
      <c r="CW18">
        <v>0.61451971021670548</v>
      </c>
      <c r="CX18">
        <v>0.67217635932151509</v>
      </c>
      <c r="CY18">
        <v>0.67217635932151509</v>
      </c>
      <c r="CZ18">
        <v>23.623568177826979</v>
      </c>
      <c r="DA18">
        <v>34.875247935396757</v>
      </c>
      <c r="DB18">
        <v>34.102549353086189</v>
      </c>
      <c r="DC18">
        <v>35.36853861424067</v>
      </c>
      <c r="DD18">
        <v>35.60406758198134</v>
      </c>
      <c r="DE18">
        <v>0.61697447840355357</v>
      </c>
      <c r="DF18">
        <v>0.61697447840355357</v>
      </c>
      <c r="DG18">
        <v>0.66870459814380334</v>
      </c>
      <c r="DH18">
        <v>0.66870459814380334</v>
      </c>
      <c r="DI18">
        <v>23.753605047049295</v>
      </c>
      <c r="DJ18">
        <v>34.873733564229966</v>
      </c>
      <c r="DK18">
        <v>34.102549353086189</v>
      </c>
      <c r="DL18">
        <v>35.038526943590618</v>
      </c>
      <c r="DM18">
        <v>36.684495887810378</v>
      </c>
      <c r="DN18">
        <v>0.53776096081185454</v>
      </c>
      <c r="DO18">
        <v>0.53776096081185454</v>
      </c>
      <c r="DP18">
        <v>1.2783699529318535</v>
      </c>
      <c r="DQ18">
        <v>1.2783699529318535</v>
      </c>
      <c r="DR18">
        <v>24.559963526033879</v>
      </c>
      <c r="DS18">
        <v>34.575692539989873</v>
      </c>
      <c r="DT18">
        <v>34.04578332065087</v>
      </c>
      <c r="DU18">
        <v>35.042792657224439</v>
      </c>
      <c r="DV18">
        <v>36.684408175778401</v>
      </c>
      <c r="DW18">
        <v>0.53989601336972592</v>
      </c>
      <c r="DX18">
        <v>0.53989601336972592</v>
      </c>
      <c r="DY18">
        <v>1.2745621987749249</v>
      </c>
      <c r="DZ18">
        <v>1.2745621987749249</v>
      </c>
      <c r="EA18">
        <v>24.673158283651237</v>
      </c>
      <c r="EB18">
        <v>34.574753877758752</v>
      </c>
      <c r="EC18">
        <v>34.04578332065087</v>
      </c>
      <c r="ED18">
        <v>34.030408500653913</v>
      </c>
      <c r="EE18">
        <v>36.251218660525652</v>
      </c>
      <c r="EF18">
        <v>0.73550331633626209</v>
      </c>
      <c r="EG18">
        <v>0.73550331633626209</v>
      </c>
      <c r="EH18">
        <v>0.39965546582365619</v>
      </c>
      <c r="EI18">
        <v>0.39965546582365619</v>
      </c>
      <c r="EJ18">
        <v>26.240295312334052</v>
      </c>
      <c r="EK18">
        <v>33.272684413382564</v>
      </c>
      <c r="EL18">
        <v>32.723766382725302</v>
      </c>
      <c r="EM18">
        <v>34.041038685808957</v>
      </c>
      <c r="EN18">
        <v>36.251131319210799</v>
      </c>
      <c r="EO18">
        <v>0.74166255870684594</v>
      </c>
      <c r="EP18">
        <v>0.74166255870684594</v>
      </c>
      <c r="EQ18">
        <v>0.39114070380417271</v>
      </c>
      <c r="ER18">
        <v>0.39114070380417271</v>
      </c>
      <c r="ES18">
        <v>26.342556445451915</v>
      </c>
      <c r="ET18">
        <v>33.271170087833262</v>
      </c>
      <c r="EU18">
        <v>32.723766382725302</v>
      </c>
      <c r="EV18">
        <v>34.991810214784238</v>
      </c>
      <c r="EW18">
        <v>35.337258870865277</v>
      </c>
      <c r="EX18">
        <v>0.59454599648748507</v>
      </c>
      <c r="EY18">
        <v>0.59454599648748507</v>
      </c>
      <c r="EZ18">
        <v>1.0635210007507598</v>
      </c>
      <c r="FA18">
        <v>1.0635210007507598</v>
      </c>
      <c r="FB18">
        <v>24.191879491376643</v>
      </c>
      <c r="FC18">
        <v>34.344739057076325</v>
      </c>
      <c r="FD18">
        <v>33.66098787719973</v>
      </c>
      <c r="FE18">
        <v>34.968225689618414</v>
      </c>
      <c r="FF18">
        <v>35.324018059478092</v>
      </c>
      <c r="FG18">
        <v>0.58499397171464507</v>
      </c>
      <c r="FH18">
        <v>0.58499397171464507</v>
      </c>
      <c r="FI18">
        <v>1.0788231089357672</v>
      </c>
      <c r="FJ18">
        <v>1.0788231089357672</v>
      </c>
      <c r="FK18">
        <v>23.94525579817601</v>
      </c>
      <c r="FL18">
        <v>34.344185709721877</v>
      </c>
      <c r="FM18">
        <v>33.66098787719973</v>
      </c>
    </row>
    <row r="19" spans="1:169">
      <c r="A19">
        <v>1079</v>
      </c>
      <c r="B19">
        <v>25.776648762606253</v>
      </c>
      <c r="C19">
        <v>25.823351237393737</v>
      </c>
      <c r="D19">
        <v>0.57766487626062601</v>
      </c>
      <c r="E19">
        <v>8.7664876260625996E-2</v>
      </c>
      <c r="F19">
        <v>8.7664876260626023</v>
      </c>
      <c r="G19">
        <v>1.055532975252125</v>
      </c>
      <c r="H19">
        <v>1.3</v>
      </c>
      <c r="I19">
        <v>0.2473526852354507</v>
      </c>
      <c r="J19">
        <v>0.2473526852354507</v>
      </c>
      <c r="K19">
        <v>0.77054289466931936</v>
      </c>
      <c r="L19">
        <v>0.7316760592774505</v>
      </c>
      <c r="M19">
        <v>0.77054289466931936</v>
      </c>
      <c r="N19">
        <v>34.796985072462448</v>
      </c>
      <c r="O19">
        <v>36.215301642675897</v>
      </c>
      <c r="P19">
        <v>20.33595275810513</v>
      </c>
      <c r="Q19">
        <v>1.4198817390701279</v>
      </c>
      <c r="R19">
        <v>0.465742234820612</v>
      </c>
      <c r="S19">
        <v>24.723274830750821</v>
      </c>
      <c r="T19">
        <v>143.5596687057789</v>
      </c>
      <c r="U19">
        <v>-25.1669526554853</v>
      </c>
      <c r="V19">
        <v>-32.724135225899246</v>
      </c>
      <c r="W19">
        <v>4.0513862663514999</v>
      </c>
      <c r="X19">
        <v>-12.619085532222115</v>
      </c>
      <c r="Y19">
        <v>-59.744941877429099</v>
      </c>
      <c r="Z19">
        <v>35.005208106875124</v>
      </c>
      <c r="AA19">
        <v>36.555220436107327</v>
      </c>
      <c r="AB19">
        <v>0.86732060768826624</v>
      </c>
      <c r="AC19">
        <v>0.86732060768826624</v>
      </c>
      <c r="AD19">
        <v>0.27345918819360282</v>
      </c>
      <c r="AE19">
        <v>0.27345918819360282</v>
      </c>
      <c r="AF19">
        <v>22.86569739428877</v>
      </c>
      <c r="AG19">
        <v>34.488579923704741</v>
      </c>
      <c r="AH19">
        <v>33.902648313987122</v>
      </c>
      <c r="AI19">
        <v>34.990602163587724</v>
      </c>
      <c r="AJ19">
        <v>36.268497551763893</v>
      </c>
      <c r="AK19">
        <v>1.0560861754733732</v>
      </c>
      <c r="AL19">
        <v>1.0560861754733732</v>
      </c>
      <c r="AM19">
        <v>0.43804646496564148</v>
      </c>
      <c r="AN19">
        <v>0.43804646496564148</v>
      </c>
      <c r="AO19">
        <v>24.236682249674981</v>
      </c>
      <c r="AP19">
        <v>34.358031359740245</v>
      </c>
      <c r="AQ19">
        <v>34.334590710262546</v>
      </c>
      <c r="AR19">
        <v>34.86667381429428</v>
      </c>
      <c r="AS19">
        <v>36.243985324160093</v>
      </c>
      <c r="AT19">
        <v>1.0808977773653576</v>
      </c>
      <c r="AU19">
        <v>1.0808977773653576</v>
      </c>
      <c r="AV19">
        <v>0.10000116258937811</v>
      </c>
      <c r="AW19">
        <v>0.10000116258937811</v>
      </c>
      <c r="AX19">
        <v>24.405815430256645</v>
      </c>
      <c r="AY19">
        <v>34.216924908082262</v>
      </c>
      <c r="AZ19">
        <v>34.379318429332947</v>
      </c>
      <c r="BA19">
        <v>35.284761585333989</v>
      </c>
      <c r="BB19">
        <v>37.733855884950628</v>
      </c>
      <c r="BC19">
        <v>0.74564924251469877</v>
      </c>
      <c r="BD19">
        <v>0.74564924251469877</v>
      </c>
      <c r="BE19">
        <v>1.6678565965979888</v>
      </c>
      <c r="BF19">
        <v>1.6678565965979888</v>
      </c>
      <c r="BG19">
        <v>23.903469092591937</v>
      </c>
      <c r="BH19">
        <v>34.550916662485712</v>
      </c>
      <c r="BI19">
        <v>34.551184467971574</v>
      </c>
      <c r="BJ19">
        <v>34.195069947784702</v>
      </c>
      <c r="BK19">
        <v>35.949952759605843</v>
      </c>
      <c r="BL19">
        <v>0.53457512567670529</v>
      </c>
      <c r="BM19">
        <v>0.53457512567670529</v>
      </c>
      <c r="BN19">
        <v>1.5204394775050865</v>
      </c>
      <c r="BO19">
        <v>1.5204394775050865</v>
      </c>
      <c r="BP19">
        <v>25.51530861939781</v>
      </c>
      <c r="BQ19">
        <v>33.839595077811687</v>
      </c>
      <c r="BR19">
        <v>33.723483134396794</v>
      </c>
      <c r="BS19">
        <v>34.201040831613454</v>
      </c>
      <c r="BT19">
        <v>35.949891985806907</v>
      </c>
      <c r="BU19">
        <v>0.53837352557868545</v>
      </c>
      <c r="BV19">
        <v>0.53837352557868545</v>
      </c>
      <c r="BW19">
        <v>1.5142098361618832</v>
      </c>
      <c r="BX19">
        <v>1.5142098361618832</v>
      </c>
      <c r="BY19">
        <v>25.61242414214497</v>
      </c>
      <c r="BZ19">
        <v>33.838064423217766</v>
      </c>
      <c r="CA19">
        <v>33.723483134396794</v>
      </c>
      <c r="CB19">
        <v>33.53921626732636</v>
      </c>
      <c r="CC19">
        <v>35.154554097182483</v>
      </c>
      <c r="CD19">
        <v>0.76542601845398828</v>
      </c>
      <c r="CE19">
        <v>0.76542601845398828</v>
      </c>
      <c r="CF19">
        <v>2.776740898968721</v>
      </c>
      <c r="CG19">
        <v>2.776740898968721</v>
      </c>
      <c r="CH19">
        <v>25.270715683920624</v>
      </c>
      <c r="CI19">
        <v>33.02940269977617</v>
      </c>
      <c r="CJ19">
        <v>32.898792279634215</v>
      </c>
      <c r="CK19">
        <v>33.545499933193362</v>
      </c>
      <c r="CL19">
        <v>35.1536713263243</v>
      </c>
      <c r="CM19">
        <v>0.77305595471997979</v>
      </c>
      <c r="CN19">
        <v>0.77305595471997979</v>
      </c>
      <c r="CO19">
        <v>2.76069656478351</v>
      </c>
      <c r="CP19">
        <v>2.76069656478351</v>
      </c>
      <c r="CQ19">
        <v>25.373250493726285</v>
      </c>
      <c r="CR19">
        <v>33.02601498120972</v>
      </c>
      <c r="CS19">
        <v>32.898792279634215</v>
      </c>
      <c r="CT19">
        <v>35.371291557870549</v>
      </c>
      <c r="CU19">
        <v>35.613460722897329</v>
      </c>
      <c r="CV19">
        <v>0.62737986302553139</v>
      </c>
      <c r="CW19">
        <v>0.62737986302553139</v>
      </c>
      <c r="CX19">
        <v>0.64704441526726186</v>
      </c>
      <c r="CY19">
        <v>0.64704441526726186</v>
      </c>
      <c r="CZ19">
        <v>23.621875232477141</v>
      </c>
      <c r="DA19">
        <v>34.875247935396757</v>
      </c>
      <c r="DB19">
        <v>34.102549353086189</v>
      </c>
      <c r="DC19">
        <v>35.37390689476301</v>
      </c>
      <c r="DD19">
        <v>35.615232716689718</v>
      </c>
      <c r="DE19">
        <v>0.62983603561432666</v>
      </c>
      <c r="DF19">
        <v>0.62983603561432666</v>
      </c>
      <c r="DG19">
        <v>0.64358373416731318</v>
      </c>
      <c r="DH19">
        <v>0.64358373416731318</v>
      </c>
      <c r="DI19">
        <v>23.751942944415131</v>
      </c>
      <c r="DJ19">
        <v>34.873733564229966</v>
      </c>
      <c r="DK19">
        <v>34.102549353086189</v>
      </c>
      <c r="DL19">
        <v>35.041183654469137</v>
      </c>
      <c r="DM19">
        <v>36.686308669138683</v>
      </c>
      <c r="DN19">
        <v>0.54783518412355958</v>
      </c>
      <c r="DO19">
        <v>0.54783518412355958</v>
      </c>
      <c r="DP19">
        <v>1.2604160795720882</v>
      </c>
      <c r="DQ19">
        <v>1.2604160795720882</v>
      </c>
      <c r="DR19">
        <v>24.559310804878645</v>
      </c>
      <c r="DS19">
        <v>34.575692539989873</v>
      </c>
      <c r="DT19">
        <v>34.04578332065087</v>
      </c>
      <c r="DU19">
        <v>35.045473282953203</v>
      </c>
      <c r="DV19">
        <v>36.686230054484362</v>
      </c>
      <c r="DW19">
        <v>0.54996608907736588</v>
      </c>
      <c r="DX19">
        <v>0.54996608907736588</v>
      </c>
      <c r="DY19">
        <v>1.2566228482547857</v>
      </c>
      <c r="DZ19">
        <v>1.2566228482547857</v>
      </c>
      <c r="EA19">
        <v>24.672512177592548</v>
      </c>
      <c r="EB19">
        <v>34.574753877758752</v>
      </c>
      <c r="EC19">
        <v>34.04578332065087</v>
      </c>
      <c r="ED19">
        <v>34.033180291657082</v>
      </c>
      <c r="EE19">
        <v>36.254950682183882</v>
      </c>
      <c r="EF19">
        <v>0.745327279356093</v>
      </c>
      <c r="EG19">
        <v>0.745327279356093</v>
      </c>
      <c r="EH19">
        <v>0.377125175916593</v>
      </c>
      <c r="EI19">
        <v>0.377125175916593</v>
      </c>
      <c r="EJ19">
        <v>26.240099386443728</v>
      </c>
      <c r="EK19">
        <v>33.272684413382564</v>
      </c>
      <c r="EL19">
        <v>32.723766382725302</v>
      </c>
      <c r="EM19">
        <v>34.043934348496954</v>
      </c>
      <c r="EN19">
        <v>36.254905051213768</v>
      </c>
      <c r="EO19">
        <v>0.75151955939723525</v>
      </c>
      <c r="EP19">
        <v>0.75151955939723525</v>
      </c>
      <c r="EQ19">
        <v>0.36859770492337107</v>
      </c>
      <c r="ER19">
        <v>0.36859770492337107</v>
      </c>
      <c r="ES19">
        <v>26.342361213694268</v>
      </c>
      <c r="ET19">
        <v>33.271170087833262</v>
      </c>
      <c r="EU19">
        <v>32.723766382725302</v>
      </c>
      <c r="EV19">
        <v>34.999691037765693</v>
      </c>
      <c r="EW19">
        <v>35.354340443807843</v>
      </c>
      <c r="EX19">
        <v>0.6067912600612968</v>
      </c>
      <c r="EY19">
        <v>0.6067912600612968</v>
      </c>
      <c r="EZ19">
        <v>1.0399999998327265</v>
      </c>
      <c r="FA19">
        <v>1.0399999998327265</v>
      </c>
      <c r="FB19">
        <v>24.189357260283991</v>
      </c>
      <c r="FC19">
        <v>34.344739057076325</v>
      </c>
      <c r="FD19">
        <v>33.66098787719973</v>
      </c>
      <c r="FE19">
        <v>34.975994507861323</v>
      </c>
      <c r="FF19">
        <v>35.340533449450042</v>
      </c>
      <c r="FG19">
        <v>0.59722496236168476</v>
      </c>
      <c r="FH19">
        <v>0.59722496236168476</v>
      </c>
      <c r="FI19">
        <v>1.0552449668689567</v>
      </c>
      <c r="FJ19">
        <v>1.0552449668689567</v>
      </c>
      <c r="FK19">
        <v>23.942515860470991</v>
      </c>
      <c r="FL19">
        <v>34.344185709721877</v>
      </c>
      <c r="FM19">
        <v>33.66098787719973</v>
      </c>
    </row>
    <row r="20" spans="1:169">
      <c r="A20">
        <v>1139</v>
      </c>
      <c r="B20">
        <v>25.776648762606253</v>
      </c>
      <c r="C20">
        <v>25.823351237393737</v>
      </c>
      <c r="D20">
        <v>0.57766487626062601</v>
      </c>
      <c r="E20">
        <v>8.7664876260625996E-2</v>
      </c>
      <c r="F20">
        <v>8.7664876260626023</v>
      </c>
      <c r="G20">
        <v>1.055532975252125</v>
      </c>
      <c r="H20">
        <v>1.3</v>
      </c>
      <c r="I20">
        <v>0.21569832581156281</v>
      </c>
      <c r="J20">
        <v>0.21569832581156281</v>
      </c>
      <c r="K20">
        <v>0.7848979486942248</v>
      </c>
      <c r="L20">
        <v>0.74551249333703851</v>
      </c>
      <c r="M20">
        <v>0.7848979486942248</v>
      </c>
      <c r="N20">
        <v>34.803655498502785</v>
      </c>
      <c r="O20">
        <v>36.217032439088513</v>
      </c>
      <c r="P20">
        <v>20.33595275810513</v>
      </c>
      <c r="Q20">
        <v>1.4198817390701279</v>
      </c>
      <c r="R20">
        <v>0.465742234820612</v>
      </c>
      <c r="S20">
        <v>24.721799812813764</v>
      </c>
      <c r="T20">
        <v>143.5596687057789</v>
      </c>
      <c r="U20">
        <v>-25.181379487958399</v>
      </c>
      <c r="V20">
        <v>-32.744913926628179</v>
      </c>
      <c r="W20">
        <v>4.0513862663514999</v>
      </c>
      <c r="X20">
        <v>-12.62053790076682</v>
      </c>
      <c r="Y20">
        <v>-60.234386818902692</v>
      </c>
      <c r="Z20">
        <v>35.016839016592684</v>
      </c>
      <c r="AA20">
        <v>36.557266734223127</v>
      </c>
      <c r="AB20">
        <v>0.88923442534166508</v>
      </c>
      <c r="AC20">
        <v>0.88923442534166508</v>
      </c>
      <c r="AD20">
        <v>0.24094031555267831</v>
      </c>
      <c r="AE20">
        <v>0.24094031555267831</v>
      </c>
      <c r="AF20">
        <v>22.861630676682552</v>
      </c>
      <c r="AG20">
        <v>34.488579923704741</v>
      </c>
      <c r="AH20">
        <v>33.902648313987122</v>
      </c>
      <c r="AI20">
        <v>35.004804199598482</v>
      </c>
      <c r="AJ20">
        <v>36.270320041575474</v>
      </c>
      <c r="AK20">
        <v>1.0799302003361433</v>
      </c>
      <c r="AL20">
        <v>1.0799302003361433</v>
      </c>
      <c r="AM20">
        <v>0.4009537560924934</v>
      </c>
      <c r="AN20">
        <v>0.4009537560924934</v>
      </c>
      <c r="AO20">
        <v>24.233579822868798</v>
      </c>
      <c r="AP20">
        <v>34.358031359740245</v>
      </c>
      <c r="AQ20">
        <v>34.334590710262546</v>
      </c>
      <c r="AR20">
        <v>34.881444449581103</v>
      </c>
      <c r="AS20">
        <v>36.245803032190551</v>
      </c>
      <c r="AT20">
        <v>1.1049077080161926</v>
      </c>
      <c r="AU20">
        <v>1.1049077080161926</v>
      </c>
      <c r="AV20">
        <v>5.9851012476891598E-2</v>
      </c>
      <c r="AW20">
        <v>5.9851012476891598E-2</v>
      </c>
      <c r="AX20">
        <v>24.402581626969152</v>
      </c>
      <c r="AY20">
        <v>34.216924908082262</v>
      </c>
      <c r="AZ20">
        <v>34.379318429332947</v>
      </c>
      <c r="BA20">
        <v>35.298349689849033</v>
      </c>
      <c r="BB20">
        <v>37.735332541064182</v>
      </c>
      <c r="BC20">
        <v>0.76224425216765068</v>
      </c>
      <c r="BD20">
        <v>0.76224425216765068</v>
      </c>
      <c r="BE20">
        <v>1.6388203074291283</v>
      </c>
      <c r="BF20">
        <v>1.6388203074291283</v>
      </c>
      <c r="BG20">
        <v>23.899792249889071</v>
      </c>
      <c r="BH20">
        <v>34.550916662485712</v>
      </c>
      <c r="BI20">
        <v>34.551184467971574</v>
      </c>
      <c r="BJ20">
        <v>34.189998462359405</v>
      </c>
      <c r="BK20">
        <v>35.953166057018272</v>
      </c>
      <c r="BL20">
        <v>0.54220440150981064</v>
      </c>
      <c r="BM20">
        <v>0.54220440150981064</v>
      </c>
      <c r="BN20">
        <v>1.5005425429342047</v>
      </c>
      <c r="BO20">
        <v>1.5005425429342047</v>
      </c>
      <c r="BP20">
        <v>25.515771943176556</v>
      </c>
      <c r="BQ20">
        <v>33.839595077811687</v>
      </c>
      <c r="BR20">
        <v>33.723483134396794</v>
      </c>
      <c r="BS20">
        <v>34.196012120481612</v>
      </c>
      <c r="BT20">
        <v>35.953153462644231</v>
      </c>
      <c r="BU20">
        <v>0.5460185885170934</v>
      </c>
      <c r="BV20">
        <v>0.5460185885170934</v>
      </c>
      <c r="BW20">
        <v>1.4942947788670249</v>
      </c>
      <c r="BX20">
        <v>1.4942947788670249</v>
      </c>
      <c r="BY20">
        <v>25.612867208428128</v>
      </c>
      <c r="BZ20">
        <v>33.838064423217766</v>
      </c>
      <c r="CA20">
        <v>33.723483134396794</v>
      </c>
      <c r="CB20">
        <v>33.536794145433127</v>
      </c>
      <c r="CC20">
        <v>35.159973973267896</v>
      </c>
      <c r="CD20">
        <v>0.77348562402328724</v>
      </c>
      <c r="CE20">
        <v>0.77348562402328724</v>
      </c>
      <c r="CF20">
        <v>2.7760413419212298</v>
      </c>
      <c r="CG20">
        <v>2.7760413419212298</v>
      </c>
      <c r="CH20">
        <v>25.271078087902289</v>
      </c>
      <c r="CI20">
        <v>33.02940269977617</v>
      </c>
      <c r="CJ20">
        <v>32.898792279634215</v>
      </c>
      <c r="CK20">
        <v>33.543169419882531</v>
      </c>
      <c r="CL20">
        <v>35.159175173461684</v>
      </c>
      <c r="CM20">
        <v>0.781181978021253</v>
      </c>
      <c r="CN20">
        <v>0.781181978021253</v>
      </c>
      <c r="CO20">
        <v>2.7598091923785577</v>
      </c>
      <c r="CP20">
        <v>2.7598091923785577</v>
      </c>
      <c r="CQ20">
        <v>25.373590016453324</v>
      </c>
      <c r="CR20">
        <v>33.02601498120972</v>
      </c>
      <c r="CS20">
        <v>32.898792279634215</v>
      </c>
      <c r="CT20">
        <v>35.376288748913112</v>
      </c>
      <c r="CU20">
        <v>35.623654055994216</v>
      </c>
      <c r="CV20">
        <v>0.64018318597238366</v>
      </c>
      <c r="CW20">
        <v>0.64018318597238366</v>
      </c>
      <c r="CX20">
        <v>0.62220408773046287</v>
      </c>
      <c r="CY20">
        <v>0.62220408773046287</v>
      </c>
      <c r="CZ20">
        <v>23.62029791109579</v>
      </c>
      <c r="DA20">
        <v>34.875247935396757</v>
      </c>
      <c r="DB20">
        <v>34.102549353086189</v>
      </c>
      <c r="DC20">
        <v>35.378906519475223</v>
      </c>
      <c r="DD20">
        <v>35.625489138602923</v>
      </c>
      <c r="DE20">
        <v>0.64263940941746345</v>
      </c>
      <c r="DF20">
        <v>0.64263940941746345</v>
      </c>
      <c r="DG20">
        <v>0.61875558665064267</v>
      </c>
      <c r="DH20">
        <v>0.61875558665064267</v>
      </c>
      <c r="DI20">
        <v>23.750395060912691</v>
      </c>
      <c r="DJ20">
        <v>34.873733564229966</v>
      </c>
      <c r="DK20">
        <v>34.102549353086189</v>
      </c>
      <c r="DL20">
        <v>35.043389845910987</v>
      </c>
      <c r="DM20">
        <v>36.688162802467922</v>
      </c>
      <c r="DN20">
        <v>0.55804105766874335</v>
      </c>
      <c r="DO20">
        <v>0.55804105766874335</v>
      </c>
      <c r="DP20">
        <v>1.2422634355830178</v>
      </c>
      <c r="DQ20">
        <v>1.2422634355830178</v>
      </c>
      <c r="DR20">
        <v>24.558768773571931</v>
      </c>
      <c r="DS20">
        <v>34.575692539989873</v>
      </c>
      <c r="DT20">
        <v>34.04578332065087</v>
      </c>
      <c r="DU20">
        <v>35.047697694974381</v>
      </c>
      <c r="DV20">
        <v>36.688093667756419</v>
      </c>
      <c r="DW20">
        <v>0.56016779881215228</v>
      </c>
      <c r="DX20">
        <v>0.56016779881215228</v>
      </c>
      <c r="DY20">
        <v>1.2384855935741377</v>
      </c>
      <c r="DZ20">
        <v>1.2384855935741377</v>
      </c>
      <c r="EA20">
        <v>24.67197603319859</v>
      </c>
      <c r="EB20">
        <v>34.574753877758752</v>
      </c>
      <c r="EC20">
        <v>34.04578332065087</v>
      </c>
      <c r="ED20">
        <v>34.035064544632831</v>
      </c>
      <c r="EE20">
        <v>36.258780907648003</v>
      </c>
      <c r="EF20">
        <v>0.75511821958477876</v>
      </c>
      <c r="EG20">
        <v>0.75511821958477876</v>
      </c>
      <c r="EH20">
        <v>0.35484105230711099</v>
      </c>
      <c r="EI20">
        <v>0.35484105230711099</v>
      </c>
      <c r="EJ20">
        <v>26.239966018608044</v>
      </c>
      <c r="EK20">
        <v>33.272684413382564</v>
      </c>
      <c r="EL20">
        <v>32.723766382725302</v>
      </c>
      <c r="EM20">
        <v>34.045928427491326</v>
      </c>
      <c r="EN20">
        <v>36.25877865850947</v>
      </c>
      <c r="EO20">
        <v>0.76134076643197135</v>
      </c>
      <c r="EP20">
        <v>0.76134076643197135</v>
      </c>
      <c r="EQ20">
        <v>0.3463036494051186</v>
      </c>
      <c r="ER20">
        <v>0.3463036494051186</v>
      </c>
      <c r="ES20">
        <v>26.342226605351215</v>
      </c>
      <c r="ET20">
        <v>33.271170087833262</v>
      </c>
      <c r="EU20">
        <v>32.723766382725302</v>
      </c>
      <c r="EV20">
        <v>35.007025259461244</v>
      </c>
      <c r="EW20">
        <v>35.370432658469689</v>
      </c>
      <c r="EX20">
        <v>0.61904304366417939</v>
      </c>
      <c r="EY20">
        <v>0.61904304366417939</v>
      </c>
      <c r="EZ20">
        <v>1.0166573592560617</v>
      </c>
      <c r="FA20">
        <v>1.0166573592560617</v>
      </c>
      <c r="FB20">
        <v>24.187010084523411</v>
      </c>
      <c r="FC20">
        <v>34.344739057076325</v>
      </c>
      <c r="FD20">
        <v>33.66098787719973</v>
      </c>
      <c r="FE20">
        <v>34.983237170257397</v>
      </c>
      <c r="FF20">
        <v>35.356105095771639</v>
      </c>
      <c r="FG20">
        <v>0.60946657135372995</v>
      </c>
      <c r="FH20">
        <v>0.60946657135372995</v>
      </c>
      <c r="FI20">
        <v>1.0318419671519661</v>
      </c>
      <c r="FJ20">
        <v>1.0318419671519661</v>
      </c>
      <c r="FK20">
        <v>23.939961615140845</v>
      </c>
      <c r="FL20">
        <v>34.344185709721877</v>
      </c>
      <c r="FM20">
        <v>33.66098787719973</v>
      </c>
    </row>
    <row r="21" spans="1:169">
      <c r="A21">
        <v>1199</v>
      </c>
      <c r="B21">
        <v>25.776648762606253</v>
      </c>
      <c r="C21">
        <v>25.823351237393737</v>
      </c>
      <c r="D21">
        <v>0.57766487626062601</v>
      </c>
      <c r="E21">
        <v>8.7664876260625996E-2</v>
      </c>
      <c r="F21">
        <v>8.7664876260626023</v>
      </c>
      <c r="G21">
        <v>1.055532975252125</v>
      </c>
      <c r="H21">
        <v>1.3</v>
      </c>
      <c r="I21">
        <v>0.184840558515418</v>
      </c>
      <c r="J21">
        <v>0.184840558515418</v>
      </c>
      <c r="K21">
        <v>0.79896354969787542</v>
      </c>
      <c r="L21">
        <v>0.75912812321136514</v>
      </c>
      <c r="M21">
        <v>0.79896354969787542</v>
      </c>
      <c r="N21">
        <v>34.809865405190813</v>
      </c>
      <c r="O21">
        <v>36.218726402993482</v>
      </c>
      <c r="P21">
        <v>20.33595275810513</v>
      </c>
      <c r="Q21">
        <v>1.4198817390701279</v>
      </c>
      <c r="R21">
        <v>0.465742234820612</v>
      </c>
      <c r="S21">
        <v>24.72040564490181</v>
      </c>
      <c r="T21">
        <v>143.5596687057789</v>
      </c>
      <c r="U21">
        <v>-25.194615345457123</v>
      </c>
      <c r="V21">
        <v>-32.764133442075916</v>
      </c>
      <c r="W21">
        <v>4.0513862663514999</v>
      </c>
      <c r="X21">
        <v>-12.621962325786903</v>
      </c>
      <c r="Y21">
        <v>-60.707929723596415</v>
      </c>
      <c r="Z21">
        <v>35.028492101983353</v>
      </c>
      <c r="AA21">
        <v>36.559266145678841</v>
      </c>
      <c r="AB21">
        <v>0.91092406974538775</v>
      </c>
      <c r="AC21">
        <v>0.91092406974538775</v>
      </c>
      <c r="AD21">
        <v>0.2089929715421372</v>
      </c>
      <c r="AE21">
        <v>0.2089929715421372</v>
      </c>
      <c r="AF21">
        <v>22.857554751760048</v>
      </c>
      <c r="AG21">
        <v>34.488579923704741</v>
      </c>
      <c r="AH21">
        <v>33.902648313987122</v>
      </c>
      <c r="AI21">
        <v>35.018435986799162</v>
      </c>
      <c r="AJ21">
        <v>36.272107301285445</v>
      </c>
      <c r="AK21">
        <v>1.103111090655494</v>
      </c>
      <c r="AL21">
        <v>1.103111090655494</v>
      </c>
      <c r="AM21">
        <v>0.36493889495493631</v>
      </c>
      <c r="AN21">
        <v>0.36493889495493631</v>
      </c>
      <c r="AO21">
        <v>24.230601992146919</v>
      </c>
      <c r="AP21">
        <v>34.358031359740245</v>
      </c>
      <c r="AQ21">
        <v>34.334590710262546</v>
      </c>
      <c r="AR21">
        <v>34.895618809424505</v>
      </c>
      <c r="AS21">
        <v>36.247587703513688</v>
      </c>
      <c r="AT21">
        <v>1.1282430806076589</v>
      </c>
      <c r="AU21">
        <v>1.1282430806076589</v>
      </c>
      <c r="AV21">
        <v>2.0942954624611598E-2</v>
      </c>
      <c r="AW21">
        <v>2.0942954624611598E-2</v>
      </c>
      <c r="AX21">
        <v>24.399478397918287</v>
      </c>
      <c r="AY21">
        <v>34.216924908082262</v>
      </c>
      <c r="AZ21">
        <v>34.379318429332947</v>
      </c>
      <c r="BA21">
        <v>35.311351690768035</v>
      </c>
      <c r="BB21">
        <v>37.736824979542853</v>
      </c>
      <c r="BC21">
        <v>0.77851383093321358</v>
      </c>
      <c r="BD21">
        <v>0.77851383093321358</v>
      </c>
      <c r="BE21">
        <v>1.610284049147904</v>
      </c>
      <c r="BF21">
        <v>1.610284049147904</v>
      </c>
      <c r="BG21">
        <v>23.896274043385887</v>
      </c>
      <c r="BH21">
        <v>34.550916662485712</v>
      </c>
      <c r="BI21">
        <v>34.551184467971574</v>
      </c>
      <c r="BJ21">
        <v>34.184849506257052</v>
      </c>
      <c r="BK21">
        <v>35.956385657872246</v>
      </c>
      <c r="BL21">
        <v>0.5497904937779734</v>
      </c>
      <c r="BM21">
        <v>0.5497904937779734</v>
      </c>
      <c r="BN21">
        <v>1.4809148092286106</v>
      </c>
      <c r="BO21">
        <v>1.4809148092286106</v>
      </c>
      <c r="BP21">
        <v>25.516242419767508</v>
      </c>
      <c r="BQ21">
        <v>33.839595077811687</v>
      </c>
      <c r="BR21">
        <v>33.723483134396794</v>
      </c>
      <c r="BS21">
        <v>34.190901553939746</v>
      </c>
      <c r="BT21">
        <v>35.956421979965057</v>
      </c>
      <c r="BU21">
        <v>0.55361918394091614</v>
      </c>
      <c r="BV21">
        <v>0.55361918394091614</v>
      </c>
      <c r="BW21">
        <v>1.4746516648663623</v>
      </c>
      <c r="BX21">
        <v>1.4746516648663623</v>
      </c>
      <c r="BY21">
        <v>25.613317560597491</v>
      </c>
      <c r="BZ21">
        <v>33.838064423217766</v>
      </c>
      <c r="CA21">
        <v>33.723483134396794</v>
      </c>
      <c r="CB21">
        <v>33.53410470262876</v>
      </c>
      <c r="CC21">
        <v>35.165429135923681</v>
      </c>
      <c r="CD21">
        <v>0.78135206104746358</v>
      </c>
      <c r="CE21">
        <v>0.78135206104746358</v>
      </c>
      <c r="CF21">
        <v>2.7752987803406204</v>
      </c>
      <c r="CG21">
        <v>2.7752987803406204</v>
      </c>
      <c r="CH21">
        <v>25.271480746371232</v>
      </c>
      <c r="CI21">
        <v>33.02940269977617</v>
      </c>
      <c r="CJ21">
        <v>32.898792279634215</v>
      </c>
      <c r="CK21">
        <v>33.540565357343873</v>
      </c>
      <c r="CL21">
        <v>35.164715977168115</v>
      </c>
      <c r="CM21">
        <v>0.78911135071784511</v>
      </c>
      <c r="CN21">
        <v>0.78911135071784511</v>
      </c>
      <c r="CO21">
        <v>2.7588875847797758</v>
      </c>
      <c r="CP21">
        <v>2.7588875847797758</v>
      </c>
      <c r="CQ21">
        <v>25.373969651293883</v>
      </c>
      <c r="CR21">
        <v>33.02601498120972</v>
      </c>
      <c r="CS21">
        <v>32.898792279634215</v>
      </c>
      <c r="CT21">
        <v>35.380957450158981</v>
      </c>
      <c r="CU21">
        <v>35.633031322254617</v>
      </c>
      <c r="CV21">
        <v>0.6527603830783435</v>
      </c>
      <c r="CW21">
        <v>0.6527603830783435</v>
      </c>
      <c r="CX21">
        <v>0.59796659934123375</v>
      </c>
      <c r="CY21">
        <v>0.59796659934123375</v>
      </c>
      <c r="CZ21">
        <v>23.618824335158688</v>
      </c>
      <c r="DA21">
        <v>34.875247935396757</v>
      </c>
      <c r="DB21">
        <v>34.102549353086189</v>
      </c>
      <c r="DC21">
        <v>35.383575447909628</v>
      </c>
      <c r="DD21">
        <v>35.634920668515029</v>
      </c>
      <c r="DE21">
        <v>0.65521551373161069</v>
      </c>
      <c r="DF21">
        <v>0.65521551373161069</v>
      </c>
      <c r="DG21">
        <v>0.59453098665063475</v>
      </c>
      <c r="DH21">
        <v>0.59453098665063475</v>
      </c>
      <c r="DI21">
        <v>23.748949620555365</v>
      </c>
      <c r="DJ21">
        <v>34.873733564229966</v>
      </c>
      <c r="DK21">
        <v>34.102549353086189</v>
      </c>
      <c r="DL21">
        <v>35.045222120558861</v>
      </c>
      <c r="DM21">
        <v>36.690054445030064</v>
      </c>
      <c r="DN21">
        <v>0.56818842665835811</v>
      </c>
      <c r="DO21">
        <v>0.56818842665835811</v>
      </c>
      <c r="DP21">
        <v>1.2242541387230039</v>
      </c>
      <c r="DQ21">
        <v>1.2242541387230039</v>
      </c>
      <c r="DR21">
        <v>24.55831860813224</v>
      </c>
      <c r="DS21">
        <v>34.575692539989873</v>
      </c>
      <c r="DT21">
        <v>34.04578332065087</v>
      </c>
      <c r="DU21">
        <v>35.049543429392138</v>
      </c>
      <c r="DV21">
        <v>36.689995130246189</v>
      </c>
      <c r="DW21">
        <v>0.57031098676402614</v>
      </c>
      <c r="DX21">
        <v>0.57031098676402614</v>
      </c>
      <c r="DY21">
        <v>1.2204923236173031</v>
      </c>
      <c r="DZ21">
        <v>1.2204923236173031</v>
      </c>
      <c r="EA21">
        <v>24.671531158730534</v>
      </c>
      <c r="EB21">
        <v>34.574753877758752</v>
      </c>
      <c r="EC21">
        <v>34.04578332065087</v>
      </c>
      <c r="ED21">
        <v>34.036205774495208</v>
      </c>
      <c r="EE21">
        <v>36.262695667088046</v>
      </c>
      <c r="EF21">
        <v>0.76471208302137006</v>
      </c>
      <c r="EG21">
        <v>0.76471208302137006</v>
      </c>
      <c r="EH21">
        <v>0.33313110077256991</v>
      </c>
      <c r="EI21">
        <v>0.33313110077256991</v>
      </c>
      <c r="EJ21">
        <v>26.239885021390212</v>
      </c>
      <c r="EK21">
        <v>33.272684413382564</v>
      </c>
      <c r="EL21">
        <v>32.723766382725302</v>
      </c>
      <c r="EM21">
        <v>34.047167368640935</v>
      </c>
      <c r="EN21">
        <v>36.262738282949229</v>
      </c>
      <c r="EO21">
        <v>0.77096242025167649</v>
      </c>
      <c r="EP21">
        <v>0.77096242025167649</v>
      </c>
      <c r="EQ21">
        <v>0.32458574937950518</v>
      </c>
      <c r="ER21">
        <v>0.32458574937950518</v>
      </c>
      <c r="ES21">
        <v>26.34214277193696</v>
      </c>
      <c r="ET21">
        <v>33.271170087833262</v>
      </c>
      <c r="EU21">
        <v>32.723766382725302</v>
      </c>
      <c r="EV21">
        <v>35.013868960362977</v>
      </c>
      <c r="EW21">
        <v>35.385583053932059</v>
      </c>
      <c r="EX21">
        <v>0.63111980561555292</v>
      </c>
      <c r="EY21">
        <v>0.63111980561555292</v>
      </c>
      <c r="EZ21">
        <v>0.99381984603575602</v>
      </c>
      <c r="FA21">
        <v>0.99381984603575602</v>
      </c>
      <c r="FB21">
        <v>24.184819976565358</v>
      </c>
      <c r="FC21">
        <v>34.344739057076325</v>
      </c>
      <c r="FD21">
        <v>33.66098787719973</v>
      </c>
      <c r="FE21">
        <v>34.990006984898983</v>
      </c>
      <c r="FF21">
        <v>35.370777973509234</v>
      </c>
      <c r="FG21">
        <v>0.62153690696889008</v>
      </c>
      <c r="FH21">
        <v>0.62153690696889008</v>
      </c>
      <c r="FI21">
        <v>1.0089424838487084</v>
      </c>
      <c r="FJ21">
        <v>1.0089424838487084</v>
      </c>
      <c r="FK21">
        <v>23.937574219744342</v>
      </c>
      <c r="FL21">
        <v>34.344185709721877</v>
      </c>
      <c r="FM21">
        <v>33.66098787719973</v>
      </c>
    </row>
    <row r="22" spans="1:169">
      <c r="A22">
        <v>1259</v>
      </c>
      <c r="B22">
        <v>25.776648762606253</v>
      </c>
      <c r="C22">
        <v>25.823351237393737</v>
      </c>
      <c r="D22">
        <v>0.57766487626062601</v>
      </c>
      <c r="E22">
        <v>8.7664876260625996E-2</v>
      </c>
      <c r="F22">
        <v>8.7664876260626023</v>
      </c>
      <c r="G22">
        <v>1.055532975252125</v>
      </c>
      <c r="H22">
        <v>1.3</v>
      </c>
      <c r="I22">
        <v>0.15495339292154861</v>
      </c>
      <c r="J22">
        <v>0.15495339292154861</v>
      </c>
      <c r="K22">
        <v>0.8126485601825969</v>
      </c>
      <c r="L22">
        <v>0.77241497384966928</v>
      </c>
      <c r="M22">
        <v>0.8126485601825969</v>
      </c>
      <c r="N22">
        <v>34.815655188435152</v>
      </c>
      <c r="O22">
        <v>36.220379935560203</v>
      </c>
      <c r="P22">
        <v>20.33595275810513</v>
      </c>
      <c r="Q22">
        <v>1.4198817390701279</v>
      </c>
      <c r="R22">
        <v>0.465742234820612</v>
      </c>
      <c r="S22">
        <v>24.719088290295911</v>
      </c>
      <c r="T22">
        <v>143.5596687057789</v>
      </c>
      <c r="U22">
        <v>-25.206774627102117</v>
      </c>
      <c r="V22">
        <v>-32.781935862873702</v>
      </c>
      <c r="W22">
        <v>4.0513862663514999</v>
      </c>
      <c r="X22">
        <v>-12.623358105949118</v>
      </c>
      <c r="Y22">
        <v>-61.166419246405518</v>
      </c>
      <c r="Z22">
        <v>35.039988955121281</v>
      </c>
      <c r="AA22">
        <v>36.561220922520803</v>
      </c>
      <c r="AB22">
        <v>0.93219428567509599</v>
      </c>
      <c r="AC22">
        <v>0.93219428567509599</v>
      </c>
      <c r="AD22">
        <v>0.1778693806487576</v>
      </c>
      <c r="AE22">
        <v>0.1778693806487576</v>
      </c>
      <c r="AF22">
        <v>22.853532738618618</v>
      </c>
      <c r="AG22">
        <v>34.488579923704741</v>
      </c>
      <c r="AH22">
        <v>33.902648313987122</v>
      </c>
      <c r="AI22">
        <v>35.03152662739398</v>
      </c>
      <c r="AJ22">
        <v>36.273858436941651</v>
      </c>
      <c r="AK22">
        <v>1.1255591772897713</v>
      </c>
      <c r="AL22">
        <v>1.1255591772897713</v>
      </c>
      <c r="AM22">
        <v>0.33010457562193452</v>
      </c>
      <c r="AN22">
        <v>0.33010457562193452</v>
      </c>
      <c r="AO22">
        <v>24.22774239413776</v>
      </c>
      <c r="AP22">
        <v>34.358031359740245</v>
      </c>
      <c r="AQ22">
        <v>34.334590710262546</v>
      </c>
      <c r="AR22">
        <v>34.909228206829638</v>
      </c>
      <c r="AS22">
        <v>36.249337769518867</v>
      </c>
      <c r="AT22">
        <v>1.1508358847668485</v>
      </c>
      <c r="AU22">
        <v>1.1508358847668485</v>
      </c>
      <c r="AV22">
        <v>-1.6607278986304701E-2</v>
      </c>
      <c r="AW22">
        <v>-1.6607278986304701E-2</v>
      </c>
      <c r="AX22">
        <v>24.396498882529109</v>
      </c>
      <c r="AY22">
        <v>34.216924908082262</v>
      </c>
      <c r="AZ22">
        <v>34.379318429332947</v>
      </c>
      <c r="BA22">
        <v>35.323800968071055</v>
      </c>
      <c r="BB22">
        <v>37.738330401634137</v>
      </c>
      <c r="BC22">
        <v>0.79436904020422716</v>
      </c>
      <c r="BD22">
        <v>0.79436904020422716</v>
      </c>
      <c r="BE22">
        <v>1.5824197609079942</v>
      </c>
      <c r="BF22">
        <v>1.5824197609079942</v>
      </c>
      <c r="BG22">
        <v>23.892905431987497</v>
      </c>
      <c r="BH22">
        <v>34.550916662485712</v>
      </c>
      <c r="BI22">
        <v>34.551184467971574</v>
      </c>
      <c r="BJ22">
        <v>34.179664516940448</v>
      </c>
      <c r="BK22">
        <v>35.959597534018108</v>
      </c>
      <c r="BL22">
        <v>0.55723705181426464</v>
      </c>
      <c r="BM22">
        <v>0.55723705181426464</v>
      </c>
      <c r="BN22">
        <v>1.4617598616487926</v>
      </c>
      <c r="BO22">
        <v>1.4617598616487926</v>
      </c>
      <c r="BP22">
        <v>25.516716244198804</v>
      </c>
      <c r="BQ22">
        <v>33.839595077811687</v>
      </c>
      <c r="BR22">
        <v>33.723483134396794</v>
      </c>
      <c r="BS22">
        <v>34.185751200013854</v>
      </c>
      <c r="BT22">
        <v>35.959683302698217</v>
      </c>
      <c r="BU22">
        <v>0.56107909063845929</v>
      </c>
      <c r="BV22">
        <v>0.56107909063845929</v>
      </c>
      <c r="BW22">
        <v>1.4554836874077883</v>
      </c>
      <c r="BX22">
        <v>1.4554836874077883</v>
      </c>
      <c r="BY22">
        <v>25.613771473242984</v>
      </c>
      <c r="BZ22">
        <v>33.838064423217766</v>
      </c>
      <c r="CA22">
        <v>33.723483134396794</v>
      </c>
      <c r="CB22">
        <v>33.531209271047068</v>
      </c>
      <c r="CC22">
        <v>35.170896200093352</v>
      </c>
      <c r="CD22">
        <v>0.78895320904820387</v>
      </c>
      <c r="CE22">
        <v>0.78895320904820387</v>
      </c>
      <c r="CF22">
        <v>2.7745738088770429</v>
      </c>
      <c r="CG22">
        <v>2.7745738088770429</v>
      </c>
      <c r="CH22">
        <v>25.271914425716929</v>
      </c>
      <c r="CI22">
        <v>33.02940269977617</v>
      </c>
      <c r="CJ22">
        <v>32.898792279634215</v>
      </c>
      <c r="CK22">
        <v>33.537749905903937</v>
      </c>
      <c r="CL22">
        <v>35.170270011725499</v>
      </c>
      <c r="CM22">
        <v>0.79677231965645712</v>
      </c>
      <c r="CN22">
        <v>0.79677231965645712</v>
      </c>
      <c r="CO22">
        <v>2.7579918032248694</v>
      </c>
      <c r="CP22">
        <v>2.7579918032248694</v>
      </c>
      <c r="CQ22">
        <v>25.374380285052599</v>
      </c>
      <c r="CR22">
        <v>33.02601498120972</v>
      </c>
      <c r="CS22">
        <v>32.898792279634215</v>
      </c>
      <c r="CT22">
        <v>35.385329225153264</v>
      </c>
      <c r="CU22">
        <v>35.641668304093571</v>
      </c>
      <c r="CV22">
        <v>0.66502470558965543</v>
      </c>
      <c r="CW22">
        <v>0.66502470558965543</v>
      </c>
      <c r="CX22">
        <v>0.5744803363778801</v>
      </c>
      <c r="CY22">
        <v>0.5744803363778801</v>
      </c>
      <c r="CZ22">
        <v>23.617444526793481</v>
      </c>
      <c r="DA22">
        <v>34.875247935396757</v>
      </c>
      <c r="DB22">
        <v>34.102549353086189</v>
      </c>
      <c r="DC22">
        <v>35.387945584445283</v>
      </c>
      <c r="DD22">
        <v>35.643604085645961</v>
      </c>
      <c r="DE22">
        <v>0.66747777996644153</v>
      </c>
      <c r="DF22">
        <v>0.66747777996644153</v>
      </c>
      <c r="DG22">
        <v>0.57105806939796477</v>
      </c>
      <c r="DH22">
        <v>0.57105806939796477</v>
      </c>
      <c r="DI22">
        <v>23.747596730850297</v>
      </c>
      <c r="DJ22">
        <v>34.873733564229966</v>
      </c>
      <c r="DK22">
        <v>34.102549353086189</v>
      </c>
      <c r="DL22">
        <v>35.04674356746515</v>
      </c>
      <c r="DM22">
        <v>36.69197983288678</v>
      </c>
      <c r="DN22">
        <v>0.57817394931703481</v>
      </c>
      <c r="DO22">
        <v>0.57817394931703481</v>
      </c>
      <c r="DP22">
        <v>1.2065733514169366</v>
      </c>
      <c r="DQ22">
        <v>1.2065733514169366</v>
      </c>
      <c r="DR22">
        <v>24.557944807079618</v>
      </c>
      <c r="DS22">
        <v>34.575692539989873</v>
      </c>
      <c r="DT22">
        <v>34.04578332065087</v>
      </c>
      <c r="DU22">
        <v>35.051074355749435</v>
      </c>
      <c r="DV22">
        <v>36.691930636927559</v>
      </c>
      <c r="DW22">
        <v>0.58029231632812772</v>
      </c>
      <c r="DX22">
        <v>0.58029231632812772</v>
      </c>
      <c r="DY22">
        <v>1.2028280005914902</v>
      </c>
      <c r="DZ22">
        <v>1.2028280005914902</v>
      </c>
      <c r="EA22">
        <v>24.671162158779641</v>
      </c>
      <c r="EB22">
        <v>34.574753877758752</v>
      </c>
      <c r="EC22">
        <v>34.04578332065087</v>
      </c>
      <c r="ED22">
        <v>34.036724323638026</v>
      </c>
      <c r="EE22">
        <v>36.266681880150223</v>
      </c>
      <c r="EF22">
        <v>0.77402772254064089</v>
      </c>
      <c r="EG22">
        <v>0.77402772254064089</v>
      </c>
      <c r="EH22">
        <v>0.31214987892201068</v>
      </c>
      <c r="EI22">
        <v>0.31214987892201068</v>
      </c>
      <c r="EJ22">
        <v>26.239847912268267</v>
      </c>
      <c r="EK22">
        <v>33.272684413382564</v>
      </c>
      <c r="EL22">
        <v>32.723766382725302</v>
      </c>
      <c r="EM22">
        <v>34.047773139738652</v>
      </c>
      <c r="EN22">
        <v>36.266770663239527</v>
      </c>
      <c r="EO22">
        <v>0.78030362969205935</v>
      </c>
      <c r="EP22">
        <v>0.78030362969205935</v>
      </c>
      <c r="EQ22">
        <v>0.30359807710219311</v>
      </c>
      <c r="ER22">
        <v>0.30359807710219311</v>
      </c>
      <c r="ES22">
        <v>26.342101511977191</v>
      </c>
      <c r="ET22">
        <v>33.271170087833262</v>
      </c>
      <c r="EU22">
        <v>32.723766382725302</v>
      </c>
      <c r="EV22">
        <v>35.020268409344631</v>
      </c>
      <c r="EW22">
        <v>35.39984022942037</v>
      </c>
      <c r="EX22">
        <v>0.64292544838639598</v>
      </c>
      <c r="EY22">
        <v>0.64292544838639598</v>
      </c>
      <c r="EZ22">
        <v>0.97164902199486558</v>
      </c>
      <c r="FA22">
        <v>0.97164902199486558</v>
      </c>
      <c r="FB22">
        <v>24.182772101552843</v>
      </c>
      <c r="FC22">
        <v>34.344739057076325</v>
      </c>
      <c r="FD22">
        <v>33.66098787719973</v>
      </c>
      <c r="FE22">
        <v>34.996347942095014</v>
      </c>
      <c r="FF22">
        <v>35.38459807260859</v>
      </c>
      <c r="FG22">
        <v>0.63333951937536614</v>
      </c>
      <c r="FH22">
        <v>0.63333951937536614</v>
      </c>
      <c r="FI22">
        <v>0.98670901762778618</v>
      </c>
      <c r="FJ22">
        <v>0.98670901762778618</v>
      </c>
      <c r="FK22">
        <v>23.935338131276641</v>
      </c>
      <c r="FL22">
        <v>34.344185709721877</v>
      </c>
      <c r="FM22">
        <v>33.66098787719973</v>
      </c>
    </row>
    <row r="23" spans="1:169">
      <c r="A23">
        <v>1319</v>
      </c>
      <c r="B23">
        <v>25.776648762606253</v>
      </c>
      <c r="C23">
        <v>25.823351237393737</v>
      </c>
      <c r="D23">
        <v>0.57766487626062601</v>
      </c>
      <c r="E23">
        <v>8.7664876260625996E-2</v>
      </c>
      <c r="F23">
        <v>8.7664876260626023</v>
      </c>
      <c r="G23">
        <v>1.055532975252125</v>
      </c>
      <c r="H23">
        <v>1.3</v>
      </c>
      <c r="I23">
        <v>0.1261068377517057</v>
      </c>
      <c r="J23">
        <v>0.1261068377517057</v>
      </c>
      <c r="K23">
        <v>0.82591015780816823</v>
      </c>
      <c r="L23">
        <v>0.78532135307276729</v>
      </c>
      <c r="M23">
        <v>0.82591015780816823</v>
      </c>
      <c r="N23">
        <v>34.821063076864824</v>
      </c>
      <c r="O23">
        <v>36.221991189828152</v>
      </c>
      <c r="P23">
        <v>20.33595275810513</v>
      </c>
      <c r="Q23">
        <v>1.4198817390701279</v>
      </c>
      <c r="R23">
        <v>0.465742234820612</v>
      </c>
      <c r="S23">
        <v>24.717842732113333</v>
      </c>
      <c r="T23">
        <v>143.5596687057789</v>
      </c>
      <c r="U23">
        <v>-25.217966531795089</v>
      </c>
      <c r="V23">
        <v>-32.798457215555203</v>
      </c>
      <c r="W23">
        <v>4.0513862663514999</v>
      </c>
      <c r="X23">
        <v>-12.624723976103304</v>
      </c>
      <c r="Y23">
        <v>-61.610529298610246</v>
      </c>
      <c r="Z23">
        <v>35.051239389092466</v>
      </c>
      <c r="AA23">
        <v>36.563132071546079</v>
      </c>
      <c r="AB23">
        <v>0.95293984804568677</v>
      </c>
      <c r="AC23">
        <v>0.95293984804568677</v>
      </c>
      <c r="AD23">
        <v>0.1476897533636187</v>
      </c>
      <c r="AE23">
        <v>0.1476897533636187</v>
      </c>
      <c r="AF23">
        <v>22.849596534715392</v>
      </c>
      <c r="AG23">
        <v>34.488579923704741</v>
      </c>
      <c r="AH23">
        <v>33.902648313987122</v>
      </c>
      <c r="AI23">
        <v>35.044102429366269</v>
      </c>
      <c r="AJ23">
        <v>36.275571866806089</v>
      </c>
      <c r="AK23">
        <v>1.1472469613186669</v>
      </c>
      <c r="AL23">
        <v>1.1472469613186669</v>
      </c>
      <c r="AM23">
        <v>0.29648731419382912</v>
      </c>
      <c r="AN23">
        <v>0.29648731419382912</v>
      </c>
      <c r="AO23">
        <v>24.224995276045309</v>
      </c>
      <c r="AP23">
        <v>34.358031359740245</v>
      </c>
      <c r="AQ23">
        <v>34.334590710262546</v>
      </c>
      <c r="AR23">
        <v>34.922301289934296</v>
      </c>
      <c r="AS23">
        <v>36.251051179411981</v>
      </c>
      <c r="AT23">
        <v>1.172660312252451</v>
      </c>
      <c r="AU23">
        <v>1.172660312252451</v>
      </c>
      <c r="AV23">
        <v>-5.2763886229878001E-2</v>
      </c>
      <c r="AW23">
        <v>-5.2763886229878001E-2</v>
      </c>
      <c r="AX23">
        <v>24.39363680360109</v>
      </c>
      <c r="AY23">
        <v>34.216924908082262</v>
      </c>
      <c r="AZ23">
        <v>34.379318429332947</v>
      </c>
      <c r="BA23">
        <v>35.335727547759824</v>
      </c>
      <c r="BB23">
        <v>37.739846004853632</v>
      </c>
      <c r="BC23">
        <v>0.80976462951079986</v>
      </c>
      <c r="BD23">
        <v>0.80976462951079986</v>
      </c>
      <c r="BE23">
        <v>1.5553206421245809</v>
      </c>
      <c r="BF23">
        <v>1.5553206421245809</v>
      </c>
      <c r="BG23">
        <v>23.889678282279917</v>
      </c>
      <c r="BH23">
        <v>34.550916662485712</v>
      </c>
      <c r="BI23">
        <v>34.551184467971574</v>
      </c>
      <c r="BJ23">
        <v>34.174474963176358</v>
      </c>
      <c r="BK23">
        <v>35.962789207655774</v>
      </c>
      <c r="BL23">
        <v>0.56449246774942541</v>
      </c>
      <c r="BM23">
        <v>0.56449246774942541</v>
      </c>
      <c r="BN23">
        <v>1.4431816713896817</v>
      </c>
      <c r="BO23">
        <v>1.4431816713896817</v>
      </c>
      <c r="BP23">
        <v>25.517190527775721</v>
      </c>
      <c r="BQ23">
        <v>33.839595077811687</v>
      </c>
      <c r="BR23">
        <v>33.723483134396794</v>
      </c>
      <c r="BS23">
        <v>34.180593036549404</v>
      </c>
      <c r="BT23">
        <v>35.96292476494763</v>
      </c>
      <c r="BU23">
        <v>0.56834681350979732</v>
      </c>
      <c r="BV23">
        <v>0.56834681350979732</v>
      </c>
      <c r="BW23">
        <v>1.4368944801372361</v>
      </c>
      <c r="BX23">
        <v>1.4368944801372361</v>
      </c>
      <c r="BY23">
        <v>25.614226115395176</v>
      </c>
      <c r="BZ23">
        <v>33.838064423217766</v>
      </c>
      <c r="CA23">
        <v>33.723483134396794</v>
      </c>
      <c r="CB23">
        <v>33.528156214252704</v>
      </c>
      <c r="CC23">
        <v>35.176354203819237</v>
      </c>
      <c r="CD23">
        <v>0.79625687741558426</v>
      </c>
      <c r="CE23">
        <v>0.79625687741558426</v>
      </c>
      <c r="CF23">
        <v>2.7738988216142482</v>
      </c>
      <c r="CG23">
        <v>2.7738988216142482</v>
      </c>
      <c r="CH23">
        <v>25.272371846637764</v>
      </c>
      <c r="CI23">
        <v>33.02940269977617</v>
      </c>
      <c r="CJ23">
        <v>32.898792279634215</v>
      </c>
      <c r="CK23">
        <v>33.53477210102173</v>
      </c>
      <c r="CL23">
        <v>35.175816003777292</v>
      </c>
      <c r="CM23">
        <v>0.80413300051396508</v>
      </c>
      <c r="CN23">
        <v>0.80413300051396508</v>
      </c>
      <c r="CO23">
        <v>2.7571536576970241</v>
      </c>
      <c r="CP23">
        <v>2.7571536576970241</v>
      </c>
      <c r="CQ23">
        <v>25.374814730588849</v>
      </c>
      <c r="CR23">
        <v>33.02601498120972</v>
      </c>
      <c r="CS23">
        <v>32.898792279634215</v>
      </c>
      <c r="CT23">
        <v>35.389431243847611</v>
      </c>
      <c r="CU23">
        <v>35.649633984800218</v>
      </c>
      <c r="CV23">
        <v>0.67693258827133196</v>
      </c>
      <c r="CW23">
        <v>0.67693258827133196</v>
      </c>
      <c r="CX23">
        <v>0.55180955624368777</v>
      </c>
      <c r="CY23">
        <v>0.55180955624368777</v>
      </c>
      <c r="CZ23">
        <v>23.616149899749701</v>
      </c>
      <c r="DA23">
        <v>34.875247935396757</v>
      </c>
      <c r="DB23">
        <v>34.102549353086189</v>
      </c>
      <c r="DC23">
        <v>35.392044391780459</v>
      </c>
      <c r="DD23">
        <v>35.651609271129175</v>
      </c>
      <c r="DE23">
        <v>0.67938279894902731</v>
      </c>
      <c r="DF23">
        <v>0.67938279894902731</v>
      </c>
      <c r="DG23">
        <v>0.54840091913214439</v>
      </c>
      <c r="DH23">
        <v>0.54840091913214439</v>
      </c>
      <c r="DI23">
        <v>23.746327879207374</v>
      </c>
      <c r="DJ23">
        <v>34.873733564229966</v>
      </c>
      <c r="DK23">
        <v>34.102549353086189</v>
      </c>
      <c r="DL23">
        <v>35.048006442351884</v>
      </c>
      <c r="DM23">
        <v>36.693935311681443</v>
      </c>
      <c r="DN23">
        <v>0.58794029973654816</v>
      </c>
      <c r="DO23">
        <v>0.58794029973654816</v>
      </c>
      <c r="DP23">
        <v>1.1893227612511017</v>
      </c>
      <c r="DQ23">
        <v>1.1893227612511017</v>
      </c>
      <c r="DR23">
        <v>24.557634531781659</v>
      </c>
      <c r="DS23">
        <v>34.575692539989873</v>
      </c>
      <c r="DT23">
        <v>34.04578332065087</v>
      </c>
      <c r="DU23">
        <v>35.052343384375177</v>
      </c>
      <c r="DV23">
        <v>36.693896494120246</v>
      </c>
      <c r="DW23">
        <v>0.59005446983767884</v>
      </c>
      <c r="DX23">
        <v>0.59005446983767884</v>
      </c>
      <c r="DY23">
        <v>1.1855941411843176</v>
      </c>
      <c r="DZ23">
        <v>1.1855941411843176</v>
      </c>
      <c r="EA23">
        <v>24.670856280597391</v>
      </c>
      <c r="EB23">
        <v>34.574753877758752</v>
      </c>
      <c r="EC23">
        <v>34.04578332065087</v>
      </c>
      <c r="ED23">
        <v>34.0367210089304</v>
      </c>
      <c r="EE23">
        <v>36.270727123019277</v>
      </c>
      <c r="EF23">
        <v>0.78303842954536984</v>
      </c>
      <c r="EG23">
        <v>0.78303842954536984</v>
      </c>
      <c r="EH23">
        <v>0.29194668155780512</v>
      </c>
      <c r="EI23">
        <v>0.29194668155780512</v>
      </c>
      <c r="EJ23">
        <v>26.239847585668748</v>
      </c>
      <c r="EK23">
        <v>33.272684413382564</v>
      </c>
      <c r="EL23">
        <v>32.723766382725302</v>
      </c>
      <c r="EM23">
        <v>34.047847930550986</v>
      </c>
      <c r="EN23">
        <v>36.270863202976187</v>
      </c>
      <c r="EO23">
        <v>0.78933420838895474</v>
      </c>
      <c r="EP23">
        <v>0.78933420838895474</v>
      </c>
      <c r="EQ23">
        <v>0.28339464612137649</v>
      </c>
      <c r="ER23">
        <v>0.28339464612137649</v>
      </c>
      <c r="ES23">
        <v>26.342095954566862</v>
      </c>
      <c r="ET23">
        <v>33.271170087833262</v>
      </c>
      <c r="EU23">
        <v>32.723766382725302</v>
      </c>
      <c r="EV23">
        <v>35.026262599462513</v>
      </c>
      <c r="EW23">
        <v>35.413252656964787</v>
      </c>
      <c r="EX23">
        <v>0.65440907338395649</v>
      </c>
      <c r="EY23">
        <v>0.65440907338395649</v>
      </c>
      <c r="EZ23">
        <v>0.950220357758083</v>
      </c>
      <c r="FA23">
        <v>0.950220357758083</v>
      </c>
      <c r="FB23">
        <v>24.180853961559549</v>
      </c>
      <c r="FC23">
        <v>34.344739057076325</v>
      </c>
      <c r="FD23">
        <v>33.66098787719973</v>
      </c>
      <c r="FE23">
        <v>35.002297124741474</v>
      </c>
      <c r="FF23">
        <v>35.397611275524604</v>
      </c>
      <c r="FG23">
        <v>0.64482316610222634</v>
      </c>
      <c r="FH23">
        <v>0.64482316610222634</v>
      </c>
      <c r="FI23">
        <v>0.96521761831959685</v>
      </c>
      <c r="FJ23">
        <v>0.96521761831959685</v>
      </c>
      <c r="FK23">
        <v>23.933240251663729</v>
      </c>
      <c r="FL23">
        <v>34.344185709721877</v>
      </c>
      <c r="FM23">
        <v>33.66098787719973</v>
      </c>
    </row>
    <row r="24" spans="1:169">
      <c r="A24">
        <v>1379</v>
      </c>
      <c r="B24">
        <v>25.776648762606253</v>
      </c>
      <c r="C24">
        <v>25.823351237393737</v>
      </c>
      <c r="D24">
        <v>0.57766487626062601</v>
      </c>
      <c r="E24">
        <v>8.7664876260625996E-2</v>
      </c>
      <c r="F24">
        <v>8.7664876260626023</v>
      </c>
      <c r="G24">
        <v>1.055532975252125</v>
      </c>
      <c r="H24">
        <v>1.3</v>
      </c>
      <c r="I24">
        <v>9.8321976923730806E-2</v>
      </c>
      <c r="J24">
        <v>9.8321976923730806E-2</v>
      </c>
      <c r="K24">
        <v>0.83872861390196496</v>
      </c>
      <c r="L24">
        <v>0.79782072876353805</v>
      </c>
      <c r="M24">
        <v>0.83872861390196496</v>
      </c>
      <c r="N24">
        <v>34.826123644152389</v>
      </c>
      <c r="O24">
        <v>36.223559453678867</v>
      </c>
      <c r="P24">
        <v>20.33595275810513</v>
      </c>
      <c r="Q24">
        <v>1.4198817390701279</v>
      </c>
      <c r="R24">
        <v>0.465742234820612</v>
      </c>
      <c r="S24">
        <v>24.716663881324852</v>
      </c>
      <c r="T24">
        <v>143.5596687057789</v>
      </c>
      <c r="U24">
        <v>-25.22828997922872</v>
      </c>
      <c r="V24">
        <v>-32.813821026381433</v>
      </c>
      <c r="W24">
        <v>4.0513862663514999</v>
      </c>
      <c r="X24">
        <v>-12.626058747452142</v>
      </c>
      <c r="Y24">
        <v>-62.040800838820111</v>
      </c>
      <c r="Z24">
        <v>35.062197323174452</v>
      </c>
      <c r="AA24">
        <v>36.564999903956398</v>
      </c>
      <c r="AB24">
        <v>0.97310369466320701</v>
      </c>
      <c r="AC24">
        <v>0.97310369466320701</v>
      </c>
      <c r="AD24">
        <v>0.1185068137025635</v>
      </c>
      <c r="AE24">
        <v>0.1185068137025635</v>
      </c>
      <c r="AF24">
        <v>22.845762437375239</v>
      </c>
      <c r="AG24">
        <v>34.488579923704741</v>
      </c>
      <c r="AH24">
        <v>33.902648313987122</v>
      </c>
      <c r="AI24">
        <v>35.056187193719907</v>
      </c>
      <c r="AJ24">
        <v>36.277246113540322</v>
      </c>
      <c r="AK24">
        <v>1.1681688900274425</v>
      </c>
      <c r="AL24">
        <v>1.1681688900274425</v>
      </c>
      <c r="AM24">
        <v>0.26408993478958909</v>
      </c>
      <c r="AN24">
        <v>0.26408993478958909</v>
      </c>
      <c r="AO24">
        <v>24.222355433721297</v>
      </c>
      <c r="AP24">
        <v>34.358031359740245</v>
      </c>
      <c r="AQ24">
        <v>34.334590710262546</v>
      </c>
      <c r="AR24">
        <v>34.934864245686647</v>
      </c>
      <c r="AS24">
        <v>36.252726195950721</v>
      </c>
      <c r="AT24">
        <v>1.1937125147799086</v>
      </c>
      <c r="AU24">
        <v>1.1937125147799086</v>
      </c>
      <c r="AV24">
        <v>-8.7530587499737397E-2</v>
      </c>
      <c r="AW24">
        <v>-8.7530587499737397E-2</v>
      </c>
      <c r="AX24">
        <v>24.390886423444211</v>
      </c>
      <c r="AY24">
        <v>34.216924908082262</v>
      </c>
      <c r="AZ24">
        <v>34.379318429332947</v>
      </c>
      <c r="BA24">
        <v>35.347158405999437</v>
      </c>
      <c r="BB24">
        <v>37.741369057883723</v>
      </c>
      <c r="BC24">
        <v>0.82467875031683624</v>
      </c>
      <c r="BD24">
        <v>0.82467875031683624</v>
      </c>
      <c r="BE24">
        <v>1.5290364475311513</v>
      </c>
      <c r="BF24">
        <v>1.5290364475311513</v>
      </c>
      <c r="BG24">
        <v>23.886585287321655</v>
      </c>
      <c r="BH24">
        <v>34.550916662485712</v>
      </c>
      <c r="BI24">
        <v>34.551184467971574</v>
      </c>
      <c r="BJ24">
        <v>34.169305172178134</v>
      </c>
      <c r="BK24">
        <v>35.965949670468042</v>
      </c>
      <c r="BL24">
        <v>0.57152901867384776</v>
      </c>
      <c r="BM24">
        <v>0.57152901867384776</v>
      </c>
      <c r="BN24">
        <v>1.4252324201992326</v>
      </c>
      <c r="BO24">
        <v>1.4252324201992326</v>
      </c>
      <c r="BP24">
        <v>25.51766303797681</v>
      </c>
      <c r="BQ24">
        <v>33.839595077811687</v>
      </c>
      <c r="BR24">
        <v>33.723483134396794</v>
      </c>
      <c r="BS24">
        <v>34.175451806480446</v>
      </c>
      <c r="BT24">
        <v>35.966135188258868</v>
      </c>
      <c r="BU24">
        <v>0.5753947283567955</v>
      </c>
      <c r="BV24">
        <v>0.5753947283567955</v>
      </c>
      <c r="BW24">
        <v>1.4189359353808326</v>
      </c>
      <c r="BX24">
        <v>1.4189359353808326</v>
      </c>
      <c r="BY24">
        <v>25.61467929718177</v>
      </c>
      <c r="BZ24">
        <v>33.838064423217766</v>
      </c>
      <c r="CA24">
        <v>33.723483134396794</v>
      </c>
      <c r="CB24">
        <v>33.524984239963061</v>
      </c>
      <c r="CC24">
        <v>35.181784486765693</v>
      </c>
      <c r="CD24">
        <v>0.80325117446298577</v>
      </c>
      <c r="CE24">
        <v>0.80325117446298577</v>
      </c>
      <c r="CF24">
        <v>2.7732893676098209</v>
      </c>
      <c r="CG24">
        <v>2.7732893676098209</v>
      </c>
      <c r="CH24">
        <v>25.27284718451601</v>
      </c>
      <c r="CI24">
        <v>33.02940269977617</v>
      </c>
      <c r="CJ24">
        <v>32.898792279634215</v>
      </c>
      <c r="CK24">
        <v>33.531671200459513</v>
      </c>
      <c r="CL24">
        <v>35.181335009583066</v>
      </c>
      <c r="CM24">
        <v>0.8111817590822521</v>
      </c>
      <c r="CN24">
        <v>0.8111817590822521</v>
      </c>
      <c r="CO24">
        <v>2.7563881390089939</v>
      </c>
      <c r="CP24">
        <v>2.7563881390089939</v>
      </c>
      <c r="CQ24">
        <v>25.375267235221202</v>
      </c>
      <c r="CR24">
        <v>33.02601498120972</v>
      </c>
      <c r="CS24">
        <v>32.898792279634215</v>
      </c>
      <c r="CT24">
        <v>35.393287267609068</v>
      </c>
      <c r="CU24">
        <v>35.656990894176694</v>
      </c>
      <c r="CV24">
        <v>0.68846336243433548</v>
      </c>
      <c r="CW24">
        <v>0.68846336243433548</v>
      </c>
      <c r="CX24">
        <v>0.52997630253054351</v>
      </c>
      <c r="CY24">
        <v>0.52997630253054351</v>
      </c>
      <c r="CZ24">
        <v>23.61493294662553</v>
      </c>
      <c r="DA24">
        <v>34.875247935396757</v>
      </c>
      <c r="DB24">
        <v>34.102549353086189</v>
      </c>
      <c r="DC24">
        <v>35.395895885032189</v>
      </c>
      <c r="DD24">
        <v>35.658999560729846</v>
      </c>
      <c r="DE24">
        <v>0.69091003782367144</v>
      </c>
      <c r="DF24">
        <v>0.69091003782367144</v>
      </c>
      <c r="DG24">
        <v>0.52658145047906113</v>
      </c>
      <c r="DH24">
        <v>0.52658145047906113</v>
      </c>
      <c r="DI24">
        <v>23.74513562332471</v>
      </c>
      <c r="DJ24">
        <v>34.873733564229966</v>
      </c>
      <c r="DK24">
        <v>34.102549353086189</v>
      </c>
      <c r="DL24">
        <v>35.049054196499249</v>
      </c>
      <c r="DM24">
        <v>36.695917358665582</v>
      </c>
      <c r="DN24">
        <v>0.5974550217089476</v>
      </c>
      <c r="DO24">
        <v>0.5974550217089476</v>
      </c>
      <c r="DP24">
        <v>1.1725587457917162</v>
      </c>
      <c r="DQ24">
        <v>1.1725587457917162</v>
      </c>
      <c r="DR24">
        <v>24.557377107315627</v>
      </c>
      <c r="DS24">
        <v>34.575692539989873</v>
      </c>
      <c r="DT24">
        <v>34.04578332065087</v>
      </c>
      <c r="DU24">
        <v>35.053394516844186</v>
      </c>
      <c r="DV24">
        <v>36.695889141700803</v>
      </c>
      <c r="DW24">
        <v>0.59956500037374383</v>
      </c>
      <c r="DX24">
        <v>0.59956500037374383</v>
      </c>
      <c r="DY24">
        <v>1.1688469791214626</v>
      </c>
      <c r="DZ24">
        <v>1.1688469791214626</v>
      </c>
      <c r="EA24">
        <v>24.670602919226933</v>
      </c>
      <c r="EB24">
        <v>34.574753877758752</v>
      </c>
      <c r="EC24">
        <v>34.04578332065087</v>
      </c>
      <c r="ED24">
        <v>34.036280717918991</v>
      </c>
      <c r="EE24">
        <v>36.27481967069815</v>
      </c>
      <c r="EF24">
        <v>0.79172505585446107</v>
      </c>
      <c r="EG24">
        <v>0.79172505585446107</v>
      </c>
      <c r="EH24">
        <v>0.27254655196128258</v>
      </c>
      <c r="EI24">
        <v>0.27254655196128258</v>
      </c>
      <c r="EJ24">
        <v>26.239878059168884</v>
      </c>
      <c r="EK24">
        <v>33.272684413382564</v>
      </c>
      <c r="EL24">
        <v>32.723766382725302</v>
      </c>
      <c r="EM24">
        <v>34.047477792188793</v>
      </c>
      <c r="EN24">
        <v>36.275004013550578</v>
      </c>
      <c r="EO24">
        <v>0.79804297678123604</v>
      </c>
      <c r="EP24">
        <v>0.79804297678123604</v>
      </c>
      <c r="EQ24">
        <v>0.26398970456836629</v>
      </c>
      <c r="ER24">
        <v>0.26398970456836629</v>
      </c>
      <c r="ES24">
        <v>26.342120314346776</v>
      </c>
      <c r="ET24">
        <v>33.271170087833262</v>
      </c>
      <c r="EU24">
        <v>32.723766382725302</v>
      </c>
      <c r="EV24">
        <v>35.031885011524928</v>
      </c>
      <c r="EW24">
        <v>35.425867871630899</v>
      </c>
      <c r="EX24">
        <v>0.66554415595965377</v>
      </c>
      <c r="EY24">
        <v>0.66554415595965377</v>
      </c>
      <c r="EZ24">
        <v>0.92956481643578015</v>
      </c>
      <c r="FA24">
        <v>0.92956481643578015</v>
      </c>
      <c r="FB24">
        <v>24.179054828567818</v>
      </c>
      <c r="FC24">
        <v>34.344739057076325</v>
      </c>
      <c r="FD24">
        <v>33.66098787719973</v>
      </c>
      <c r="FE24">
        <v>35.007886384478937</v>
      </c>
      <c r="FF24">
        <v>35.409862590371404</v>
      </c>
      <c r="FG24">
        <v>0.65596099463758994</v>
      </c>
      <c r="FH24">
        <v>0.65596099463758994</v>
      </c>
      <c r="FI24">
        <v>0.94449963209724297</v>
      </c>
      <c r="FJ24">
        <v>0.94449963209724297</v>
      </c>
      <c r="FK24">
        <v>23.931269333876983</v>
      </c>
      <c r="FL24">
        <v>34.344185709721877</v>
      </c>
      <c r="FM24">
        <v>33.66098787719973</v>
      </c>
    </row>
    <row r="25" spans="1:169">
      <c r="A25">
        <v>1439</v>
      </c>
      <c r="B25">
        <v>25.776648762606253</v>
      </c>
      <c r="C25">
        <v>25.823351237393737</v>
      </c>
      <c r="D25">
        <v>0.57766487626062601</v>
      </c>
      <c r="E25">
        <v>8.7664876260625996E-2</v>
      </c>
      <c r="F25">
        <v>8.7664876260626023</v>
      </c>
      <c r="G25">
        <v>1.055532975252125</v>
      </c>
      <c r="H25">
        <v>1.3</v>
      </c>
      <c r="I25">
        <v>6.7434999194870102E-2</v>
      </c>
      <c r="J25">
        <v>6.7434999194870102E-2</v>
      </c>
      <c r="K25">
        <v>0.85109510688000933</v>
      </c>
      <c r="L25">
        <v>0.80989712024114369</v>
      </c>
      <c r="M25">
        <v>0.85109510688000933</v>
      </c>
      <c r="N25">
        <v>34.830867592978684</v>
      </c>
      <c r="O25">
        <v>36.225084756283145</v>
      </c>
      <c r="P25">
        <v>20.33595275810513</v>
      </c>
      <c r="Q25">
        <v>1.4198817390701279</v>
      </c>
      <c r="R25">
        <v>0.465742234820612</v>
      </c>
      <c r="S25">
        <v>24.715546932660232</v>
      </c>
      <c r="T25">
        <v>143.5596687057789</v>
      </c>
      <c r="U25">
        <v>-25.237832645186899</v>
      </c>
      <c r="V25">
        <v>-32.828137065678717</v>
      </c>
      <c r="W25">
        <v>4.0513862663514999</v>
      </c>
      <c r="X25">
        <v>-12.627361555482899</v>
      </c>
      <c r="Y25">
        <v>-62.457685681609412</v>
      </c>
      <c r="Z25">
        <v>35.072839492521048</v>
      </c>
      <c r="AA25">
        <v>36.566824405186267</v>
      </c>
      <c r="AB25">
        <v>0.99265551782896377</v>
      </c>
      <c r="AC25">
        <v>0.99265551782896377</v>
      </c>
      <c r="AD25">
        <v>9.0338038231264406E-2</v>
      </c>
      <c r="AE25">
        <v>9.0338038231264406E-2</v>
      </c>
      <c r="AF25">
        <v>22.842038678802481</v>
      </c>
      <c r="AG25">
        <v>34.488579923704741</v>
      </c>
      <c r="AH25">
        <v>33.902648313987122</v>
      </c>
      <c r="AI25">
        <v>35.067802634221131</v>
      </c>
      <c r="AJ25">
        <v>36.27888010960276</v>
      </c>
      <c r="AK25">
        <v>1.1883311949416386</v>
      </c>
      <c r="AL25">
        <v>1.1883311949416386</v>
      </c>
      <c r="AM25">
        <v>0.23289770679532881</v>
      </c>
      <c r="AN25">
        <v>0.23289770679532881</v>
      </c>
      <c r="AO25">
        <v>24.219818120256264</v>
      </c>
      <c r="AP25">
        <v>34.358031359740245</v>
      </c>
      <c r="AQ25">
        <v>34.334590710262546</v>
      </c>
      <c r="AR25">
        <v>34.94694112831327</v>
      </c>
      <c r="AS25">
        <v>36.25436164565162</v>
      </c>
      <c r="AT25">
        <v>1.2140003907745185</v>
      </c>
      <c r="AU25">
        <v>1.2140003907745185</v>
      </c>
      <c r="AV25">
        <v>-0.1209307474419829</v>
      </c>
      <c r="AW25">
        <v>-0.1209307474419829</v>
      </c>
      <c r="AX25">
        <v>24.388242472255385</v>
      </c>
      <c r="AY25">
        <v>34.216924908082262</v>
      </c>
      <c r="AZ25">
        <v>34.379318429332947</v>
      </c>
      <c r="BA25">
        <v>35.358117926048422</v>
      </c>
      <c r="BB25">
        <v>37.742896945816341</v>
      </c>
      <c r="BC25">
        <v>0.83910262735007368</v>
      </c>
      <c r="BD25">
        <v>0.83910262735007368</v>
      </c>
      <c r="BE25">
        <v>1.5035917727648742</v>
      </c>
      <c r="BF25">
        <v>1.5035917727648742</v>
      </c>
      <c r="BG25">
        <v>23.883619843467272</v>
      </c>
      <c r="BH25">
        <v>34.550916662485712</v>
      </c>
      <c r="BI25">
        <v>34.551184467971574</v>
      </c>
      <c r="BJ25">
        <v>34.164174221727151</v>
      </c>
      <c r="BK25">
        <v>35.96906928956323</v>
      </c>
      <c r="BL25">
        <v>0.57833213806763339</v>
      </c>
      <c r="BM25">
        <v>0.57833213806763339</v>
      </c>
      <c r="BN25">
        <v>1.4079367031039101</v>
      </c>
      <c r="BO25">
        <v>1.4079367031039101</v>
      </c>
      <c r="BP25">
        <v>25.518132024377309</v>
      </c>
      <c r="BQ25">
        <v>33.839595077811687</v>
      </c>
      <c r="BR25">
        <v>33.723483134396794</v>
      </c>
      <c r="BS25">
        <v>34.170346930864582</v>
      </c>
      <c r="BT25">
        <v>35.969304786562645</v>
      </c>
      <c r="BU25">
        <v>0.58220835544446636</v>
      </c>
      <c r="BV25">
        <v>0.58220835544446636</v>
      </c>
      <c r="BW25">
        <v>1.4016323998341551</v>
      </c>
      <c r="BX25">
        <v>1.4016323998341551</v>
      </c>
      <c r="BY25">
        <v>25.615129300090693</v>
      </c>
      <c r="BZ25">
        <v>33.838064423217766</v>
      </c>
      <c r="CA25">
        <v>33.723483134396794</v>
      </c>
      <c r="CB25">
        <v>33.52172472898922</v>
      </c>
      <c r="CC25">
        <v>35.187170548775974</v>
      </c>
      <c r="CD25">
        <v>0.80993464344761534</v>
      </c>
      <c r="CE25">
        <v>0.80993464344761534</v>
      </c>
      <c r="CF25">
        <v>2.7727506217575053</v>
      </c>
      <c r="CG25">
        <v>2.7727506217575053</v>
      </c>
      <c r="CH25">
        <v>25.273335718180096</v>
      </c>
      <c r="CI25">
        <v>33.02940269977617</v>
      </c>
      <c r="CJ25">
        <v>32.898792279634215</v>
      </c>
      <c r="CK25">
        <v>33.528479039499175</v>
      </c>
      <c r="CL25">
        <v>35.186810272078233</v>
      </c>
      <c r="CM25">
        <v>0.81791735691582712</v>
      </c>
      <c r="CN25">
        <v>0.81791735691582712</v>
      </c>
      <c r="CO25">
        <v>2.7556999170060923</v>
      </c>
      <c r="CP25">
        <v>2.7556999170060923</v>
      </c>
      <c r="CQ25">
        <v>25.375733134832579</v>
      </c>
      <c r="CR25">
        <v>33.02601498120972</v>
      </c>
      <c r="CS25">
        <v>32.898792279634215</v>
      </c>
      <c r="CT25">
        <v>35.396918314559962</v>
      </c>
      <c r="CU25">
        <v>35.663795561504152</v>
      </c>
      <c r="CV25">
        <v>0.69960888723204384</v>
      </c>
      <c r="CW25">
        <v>0.69960888723204384</v>
      </c>
      <c r="CX25">
        <v>0.50898120180494866</v>
      </c>
      <c r="CY25">
        <v>0.50898120180494866</v>
      </c>
      <c r="CZ25">
        <v>23.613787027818347</v>
      </c>
      <c r="DA25">
        <v>34.875247935396757</v>
      </c>
      <c r="DB25">
        <v>34.102549353086189</v>
      </c>
      <c r="DC25">
        <v>35.399521303285191</v>
      </c>
      <c r="DD25">
        <v>35.665832205517283</v>
      </c>
      <c r="DE25">
        <v>0.70205147414046687</v>
      </c>
      <c r="DF25">
        <v>0.70205147414046687</v>
      </c>
      <c r="DG25">
        <v>0.50560018856820599</v>
      </c>
      <c r="DH25">
        <v>0.50560018856820599</v>
      </c>
      <c r="DI25">
        <v>23.744013382249051</v>
      </c>
      <c r="DJ25">
        <v>34.873733564229966</v>
      </c>
      <c r="DK25">
        <v>34.102549353086189</v>
      </c>
      <c r="DL25">
        <v>35.049923050465239</v>
      </c>
      <c r="DM25">
        <v>36.697922597951219</v>
      </c>
      <c r="DN25">
        <v>0.60669963601469012</v>
      </c>
      <c r="DO25">
        <v>0.60669963601469012</v>
      </c>
      <c r="DP25">
        <v>1.1563120984474915</v>
      </c>
      <c r="DQ25">
        <v>1.1563120984474915</v>
      </c>
      <c r="DR25">
        <v>24.557163635456732</v>
      </c>
      <c r="DS25">
        <v>34.575692539989873</v>
      </c>
      <c r="DT25">
        <v>34.04578332065087</v>
      </c>
      <c r="DU25">
        <v>35.054264437060468</v>
      </c>
      <c r="DV25">
        <v>36.69790516846998</v>
      </c>
      <c r="DW25">
        <v>0.60880543787369978</v>
      </c>
      <c r="DX25">
        <v>0.60880543787369978</v>
      </c>
      <c r="DY25">
        <v>1.1526171880891289</v>
      </c>
      <c r="DZ25">
        <v>1.1526171880891289</v>
      </c>
      <c r="EA25">
        <v>24.670393233648682</v>
      </c>
      <c r="EB25">
        <v>34.574753877758752</v>
      </c>
      <c r="EC25">
        <v>34.04578332065087</v>
      </c>
      <c r="ED25">
        <v>34.035475212003583</v>
      </c>
      <c r="EE25">
        <v>36.278948519772257</v>
      </c>
      <c r="EF25">
        <v>0.80007158373522103</v>
      </c>
      <c r="EG25">
        <v>0.80007158373522103</v>
      </c>
      <c r="EH25">
        <v>0.25396416381846532</v>
      </c>
      <c r="EI25">
        <v>0.25396416381846532</v>
      </c>
      <c r="EJ25">
        <v>26.239934275701689</v>
      </c>
      <c r="EK25">
        <v>33.272684413382564</v>
      </c>
      <c r="EL25">
        <v>32.723766382725302</v>
      </c>
      <c r="EM25">
        <v>34.046735475511966</v>
      </c>
      <c r="EN25">
        <v>36.279181937270359</v>
      </c>
      <c r="EO25">
        <v>0.8064099694485658</v>
      </c>
      <c r="EP25">
        <v>0.8064099694485658</v>
      </c>
      <c r="EQ25">
        <v>0.24540336095280679</v>
      </c>
      <c r="ER25">
        <v>0.24540336095280679</v>
      </c>
      <c r="ES25">
        <v>26.342169700440738</v>
      </c>
      <c r="ET25">
        <v>33.271170087833262</v>
      </c>
      <c r="EU25">
        <v>32.723766382725302</v>
      </c>
      <c r="EV25">
        <v>35.037164868731999</v>
      </c>
      <c r="EW25">
        <v>35.437731940960653</v>
      </c>
      <c r="EX25">
        <v>0.67631781750532838</v>
      </c>
      <c r="EY25">
        <v>0.67631781750532838</v>
      </c>
      <c r="EZ25">
        <v>0.90968983637021761</v>
      </c>
      <c r="FA25">
        <v>0.90968983637021761</v>
      </c>
      <c r="FB25">
        <v>24.177365341174813</v>
      </c>
      <c r="FC25">
        <v>34.344739057076325</v>
      </c>
      <c r="FD25">
        <v>33.66098787719973</v>
      </c>
      <c r="FE25">
        <v>35.013143535310824</v>
      </c>
      <c r="FF25">
        <v>35.421395647697288</v>
      </c>
      <c r="FG25">
        <v>0.66673981923985037</v>
      </c>
      <c r="FH25">
        <v>0.66673981923985037</v>
      </c>
      <c r="FI25">
        <v>0.92456276555210382</v>
      </c>
      <c r="FJ25">
        <v>0.92456276555210382</v>
      </c>
      <c r="FK25">
        <v>23.929415559122965</v>
      </c>
      <c r="FL25">
        <v>34.344185709721877</v>
      </c>
      <c r="FM25">
        <v>33.66098787719973</v>
      </c>
    </row>
    <row r="26" spans="1:169">
      <c r="A26">
        <v>1499</v>
      </c>
      <c r="B26">
        <v>25.776648762606253</v>
      </c>
      <c r="C26">
        <v>25.823351237393737</v>
      </c>
      <c r="D26">
        <v>0.57766487626062601</v>
      </c>
      <c r="E26">
        <v>8.7664876260625996E-2</v>
      </c>
      <c r="F26">
        <v>8.7664876260626023</v>
      </c>
      <c r="G26">
        <v>1.055532975252125</v>
      </c>
      <c r="H26">
        <v>1.3</v>
      </c>
      <c r="I26">
        <v>3.76893358496894E-2</v>
      </c>
      <c r="J26">
        <v>3.76893358496894E-2</v>
      </c>
      <c r="K26">
        <v>0.86301077907024781</v>
      </c>
      <c r="L26">
        <v>0.82154797037410932</v>
      </c>
      <c r="M26">
        <v>0.86301077907024781</v>
      </c>
      <c r="N26">
        <v>34.835322032171241</v>
      </c>
      <c r="O26">
        <v>36.226567604424183</v>
      </c>
      <c r="P26">
        <v>20.33595275810513</v>
      </c>
      <c r="Q26">
        <v>1.4198817390701279</v>
      </c>
      <c r="R26">
        <v>0.465742234820612</v>
      </c>
      <c r="S26">
        <v>24.71448747839376</v>
      </c>
      <c r="T26">
        <v>143.5596687057789</v>
      </c>
      <c r="U26">
        <v>-25.246671598410209</v>
      </c>
      <c r="V26">
        <v>-32.84150211608307</v>
      </c>
      <c r="W26">
        <v>4.0513862663514999</v>
      </c>
      <c r="X26">
        <v>-12.628631916680632</v>
      </c>
      <c r="Y26">
        <v>-62.861581531743809</v>
      </c>
      <c r="Z26">
        <v>35.083154918320197</v>
      </c>
      <c r="AA26">
        <v>36.568605468758165</v>
      </c>
      <c r="AB26">
        <v>1.0115807464932818</v>
      </c>
      <c r="AC26">
        <v>1.0115807464932818</v>
      </c>
      <c r="AD26">
        <v>6.3181482653420495E-2</v>
      </c>
      <c r="AE26">
        <v>6.3181482653420495E-2</v>
      </c>
      <c r="AF26">
        <v>22.838429151592901</v>
      </c>
      <c r="AG26">
        <v>34.488579923704741</v>
      </c>
      <c r="AH26">
        <v>33.902648313987122</v>
      </c>
      <c r="AI26">
        <v>35.078968802611534</v>
      </c>
      <c r="AJ26">
        <v>36.280473265562136</v>
      </c>
      <c r="AK26">
        <v>1.2077467649307203</v>
      </c>
      <c r="AL26">
        <v>1.2077467649307203</v>
      </c>
      <c r="AM26">
        <v>0.2028860755366004</v>
      </c>
      <c r="AN26">
        <v>0.2028860755366004</v>
      </c>
      <c r="AO26">
        <v>24.21737895301867</v>
      </c>
      <c r="AP26">
        <v>34.358031359740245</v>
      </c>
      <c r="AQ26">
        <v>34.334590710262546</v>
      </c>
      <c r="AR26">
        <v>34.958554207604429</v>
      </c>
      <c r="AS26">
        <v>36.25595692777388</v>
      </c>
      <c r="AT26">
        <v>1.2335384027335028</v>
      </c>
      <c r="AU26">
        <v>1.2335384027335028</v>
      </c>
      <c r="AV26">
        <v>-0.15299955064095269</v>
      </c>
      <c r="AW26">
        <v>-0.15299955064095269</v>
      </c>
      <c r="AX26">
        <v>24.385700071858608</v>
      </c>
      <c r="AY26">
        <v>34.216924908082262</v>
      </c>
      <c r="AZ26">
        <v>34.379318429332947</v>
      </c>
      <c r="BA26">
        <v>35.368628380513435</v>
      </c>
      <c r="BB26">
        <v>37.744427196150063</v>
      </c>
      <c r="BC26">
        <v>0.85303524586044155</v>
      </c>
      <c r="BD26">
        <v>0.85303524586044155</v>
      </c>
      <c r="BE26">
        <v>1.4789956780344764</v>
      </c>
      <c r="BF26">
        <v>1.4789956780344764</v>
      </c>
      <c r="BG26">
        <v>23.880775919871432</v>
      </c>
      <c r="BH26">
        <v>34.550916662485712</v>
      </c>
      <c r="BI26">
        <v>34.551184467971574</v>
      </c>
      <c r="BJ26">
        <v>34.159097216209275</v>
      </c>
      <c r="BK26">
        <v>35.972139707454886</v>
      </c>
      <c r="BL26">
        <v>0.58489487173143484</v>
      </c>
      <c r="BM26">
        <v>0.58489487173143484</v>
      </c>
      <c r="BN26">
        <v>1.3913013713241915</v>
      </c>
      <c r="BO26">
        <v>1.3913013713241915</v>
      </c>
      <c r="BP26">
        <v>25.51859610128016</v>
      </c>
      <c r="BQ26">
        <v>33.839595077811687</v>
      </c>
      <c r="BR26">
        <v>33.723483134396794</v>
      </c>
      <c r="BS26">
        <v>34.165293800567163</v>
      </c>
      <c r="BT26">
        <v>35.972425065085652</v>
      </c>
      <c r="BU26">
        <v>0.58878081720054443</v>
      </c>
      <c r="BV26">
        <v>0.58878081720054443</v>
      </c>
      <c r="BW26">
        <v>1.3849905143053458</v>
      </c>
      <c r="BX26">
        <v>1.3849905143053458</v>
      </c>
      <c r="BY26">
        <v>25.61557476239004</v>
      </c>
      <c r="BZ26">
        <v>33.838064423217766</v>
      </c>
      <c r="CA26">
        <v>33.723483134396794</v>
      </c>
      <c r="CB26">
        <v>33.518403384555675</v>
      </c>
      <c r="CC26">
        <v>35.192497898891013</v>
      </c>
      <c r="CD26">
        <v>0.81631132959874009</v>
      </c>
      <c r="CE26">
        <v>0.81631132959874009</v>
      </c>
      <c r="CF26">
        <v>2.7722864274262555</v>
      </c>
      <c r="CG26">
        <v>2.7722864274262555</v>
      </c>
      <c r="CH26">
        <v>25.27383358121309</v>
      </c>
      <c r="CI26">
        <v>33.02940269977617</v>
      </c>
      <c r="CJ26">
        <v>32.898792279634215</v>
      </c>
      <c r="CK26">
        <v>33.525221700370203</v>
      </c>
      <c r="CL26">
        <v>35.192227068269133</v>
      </c>
      <c r="CM26">
        <v>0.82434402595274836</v>
      </c>
      <c r="CN26">
        <v>0.82434402595274836</v>
      </c>
      <c r="CO26">
        <v>2.7550923747197631</v>
      </c>
      <c r="CP26">
        <v>2.7550923747197631</v>
      </c>
      <c r="CQ26">
        <v>25.376208608741411</v>
      </c>
      <c r="CR26">
        <v>33.02601498120972</v>
      </c>
      <c r="CS26">
        <v>32.898792279634215</v>
      </c>
      <c r="CT26">
        <v>35.400343129796269</v>
      </c>
      <c r="CU26">
        <v>35.670099009298063</v>
      </c>
      <c r="CV26">
        <v>0.71036822039264624</v>
      </c>
      <c r="CW26">
        <v>0.71036822039264624</v>
      </c>
      <c r="CX26">
        <v>0.48881161675212831</v>
      </c>
      <c r="CY26">
        <v>0.48881161675212831</v>
      </c>
      <c r="CZ26">
        <v>23.612706222456133</v>
      </c>
      <c r="DA26">
        <v>34.875247935396757</v>
      </c>
      <c r="DB26">
        <v>34.102549353086189</v>
      </c>
      <c r="DC26">
        <v>35.402939584303851</v>
      </c>
      <c r="DD26">
        <v>35.672158873308746</v>
      </c>
      <c r="DE26">
        <v>0.71280626874338626</v>
      </c>
      <c r="DF26">
        <v>0.71280626874338626</v>
      </c>
      <c r="DG26">
        <v>0.4854444158516289</v>
      </c>
      <c r="DH26">
        <v>0.4854444158516289</v>
      </c>
      <c r="DI26">
        <v>23.742955288765096</v>
      </c>
      <c r="DJ26">
        <v>34.873733564229966</v>
      </c>
      <c r="DK26">
        <v>34.102549353086189</v>
      </c>
      <c r="DL26">
        <v>35.050643240787814</v>
      </c>
      <c r="DM26">
        <v>36.699947810427055</v>
      </c>
      <c r="DN26">
        <v>0.61566398629306818</v>
      </c>
      <c r="DO26">
        <v>0.61566398629306818</v>
      </c>
      <c r="DP26">
        <v>1.1405983269858353</v>
      </c>
      <c r="DQ26">
        <v>1.1405983269858353</v>
      </c>
      <c r="DR26">
        <v>24.556986688186669</v>
      </c>
      <c r="DS26">
        <v>34.575692539989873</v>
      </c>
      <c r="DT26">
        <v>34.04578332065087</v>
      </c>
      <c r="DU26">
        <v>35.054983772102169</v>
      </c>
      <c r="DV26">
        <v>36.699941322129391</v>
      </c>
      <c r="DW26">
        <v>0.61776563441032151</v>
      </c>
      <c r="DX26">
        <v>0.61776563441032151</v>
      </c>
      <c r="DY26">
        <v>1.1369201773278714</v>
      </c>
      <c r="DZ26">
        <v>1.1369201773278714</v>
      </c>
      <c r="EA26">
        <v>24.670219842695357</v>
      </c>
      <c r="EB26">
        <v>34.574753877758752</v>
      </c>
      <c r="EC26">
        <v>34.04578332065087</v>
      </c>
      <c r="ED26">
        <v>34.034365340472441</v>
      </c>
      <c r="EE26">
        <v>36.283103395972105</v>
      </c>
      <c r="EF26">
        <v>0.80808061456938063</v>
      </c>
      <c r="EG26">
        <v>0.80808061456938063</v>
      </c>
      <c r="EH26">
        <v>0.23618379595734251</v>
      </c>
      <c r="EI26">
        <v>0.23618379595734251</v>
      </c>
      <c r="EJ26">
        <v>26.240011947369936</v>
      </c>
      <c r="EK26">
        <v>33.272684413382564</v>
      </c>
      <c r="EL26">
        <v>32.723766382725302</v>
      </c>
      <c r="EM26">
        <v>34.045682674018856</v>
      </c>
      <c r="EN26">
        <v>36.283386555067658</v>
      </c>
      <c r="EO26">
        <v>0.81443794464232511</v>
      </c>
      <c r="EP26">
        <v>0.81443794464232511</v>
      </c>
      <c r="EQ26">
        <v>0.2276197594639475</v>
      </c>
      <c r="ER26">
        <v>0.2276197594639475</v>
      </c>
      <c r="ES26">
        <v>26.342239965515532</v>
      </c>
      <c r="ET26">
        <v>33.271170087833262</v>
      </c>
      <c r="EU26">
        <v>32.723766382725302</v>
      </c>
      <c r="EV26">
        <v>35.042128038000882</v>
      </c>
      <c r="EW26">
        <v>35.448889134752122</v>
      </c>
      <c r="EX26">
        <v>0.68672524353358666</v>
      </c>
      <c r="EY26">
        <v>0.68672524353358666</v>
      </c>
      <c r="EZ26">
        <v>0.89058876609735993</v>
      </c>
      <c r="FA26">
        <v>0.89058876609735993</v>
      </c>
      <c r="FB26">
        <v>24.175777214902158</v>
      </c>
      <c r="FC26">
        <v>34.344739057076325</v>
      </c>
      <c r="FD26">
        <v>33.66098787719973</v>
      </c>
      <c r="FE26">
        <v>35.018093211865562</v>
      </c>
      <c r="FF26">
        <v>35.432252386783439</v>
      </c>
      <c r="FG26">
        <v>0.67715454139221309</v>
      </c>
      <c r="FH26">
        <v>0.67715454139221309</v>
      </c>
      <c r="FI26">
        <v>0.90540055430677924</v>
      </c>
      <c r="FJ26">
        <v>0.90540055430677924</v>
      </c>
      <c r="FK26">
        <v>23.927670232857849</v>
      </c>
      <c r="FL26">
        <v>34.344185709721877</v>
      </c>
      <c r="FM26">
        <v>33.66098787719973</v>
      </c>
    </row>
    <row r="27" spans="1:169">
      <c r="A27">
        <v>1559</v>
      </c>
      <c r="B27">
        <v>25.776648762606253</v>
      </c>
      <c r="C27">
        <v>25.823351237393737</v>
      </c>
      <c r="D27">
        <v>0.57766487626062601</v>
      </c>
      <c r="E27">
        <v>8.7664876260625996E-2</v>
      </c>
      <c r="F27">
        <v>8.7664876260626023</v>
      </c>
      <c r="G27">
        <v>1.055532975252125</v>
      </c>
      <c r="H27">
        <v>1.3</v>
      </c>
      <c r="I27">
        <v>9.0777395464889995E-3</v>
      </c>
      <c r="J27">
        <v>9.0777395464889995E-3</v>
      </c>
      <c r="K27">
        <v>0.87448570980103879</v>
      </c>
      <c r="L27">
        <v>0.83278952788254956</v>
      </c>
      <c r="M27">
        <v>0.87448570980103879</v>
      </c>
      <c r="N27">
        <v>34.839510966065653</v>
      </c>
      <c r="O27">
        <v>36.228010747074862</v>
      </c>
      <c r="P27">
        <v>20.33595275810513</v>
      </c>
      <c r="Q27">
        <v>1.4198817390701279</v>
      </c>
      <c r="R27">
        <v>0.465742234820612</v>
      </c>
      <c r="S27">
        <v>24.713474025096925</v>
      </c>
      <c r="T27">
        <v>143.5596687057789</v>
      </c>
      <c r="U27">
        <v>-25.255090877408783</v>
      </c>
      <c r="V27">
        <v>-32.854293342120613</v>
      </c>
      <c r="W27">
        <v>4.0513862663514999</v>
      </c>
      <c r="X27">
        <v>-12.629869842349905</v>
      </c>
      <c r="Y27">
        <v>-63.217801021551949</v>
      </c>
      <c r="Z27">
        <v>35.093140876411788</v>
      </c>
      <c r="AA27">
        <v>36.570343162122448</v>
      </c>
      <c r="AB27">
        <v>1.0298836064787429</v>
      </c>
      <c r="AC27">
        <v>1.0298836064787429</v>
      </c>
      <c r="AD27">
        <v>3.7011546318951503E-2</v>
      </c>
      <c r="AE27">
        <v>3.7011546318951503E-2</v>
      </c>
      <c r="AF27">
        <v>22.83493486420274</v>
      </c>
      <c r="AG27">
        <v>34.488579923704741</v>
      </c>
      <c r="AH27">
        <v>33.902648313987122</v>
      </c>
      <c r="AI27">
        <v>35.089705187078735</v>
      </c>
      <c r="AJ27">
        <v>36.282025624650203</v>
      </c>
      <c r="AK27">
        <v>1.2264404407995575</v>
      </c>
      <c r="AL27">
        <v>1.2264404407995575</v>
      </c>
      <c r="AM27">
        <v>0.17401266034988261</v>
      </c>
      <c r="AN27">
        <v>0.17401266034988261</v>
      </c>
      <c r="AO27">
        <v>24.215033682583918</v>
      </c>
      <c r="AP27">
        <v>34.358031359740245</v>
      </c>
      <c r="AQ27">
        <v>34.334590710262546</v>
      </c>
      <c r="AR27">
        <v>34.969724851647726</v>
      </c>
      <c r="AS27">
        <v>36.257512150070482</v>
      </c>
      <c r="AT27">
        <v>1.2523529504431137</v>
      </c>
      <c r="AU27">
        <v>1.2523529504431137</v>
      </c>
      <c r="AV27">
        <v>-0.18379098802936689</v>
      </c>
      <c r="AW27">
        <v>-0.18379098802936689</v>
      </c>
      <c r="AX27">
        <v>24.383254549425718</v>
      </c>
      <c r="AY27">
        <v>34.216924908082262</v>
      </c>
      <c r="AZ27">
        <v>34.379318429332947</v>
      </c>
      <c r="BA27">
        <v>35.378711015624795</v>
      </c>
      <c r="BB27">
        <v>37.745957515548632</v>
      </c>
      <c r="BC27">
        <v>0.8664878559350635</v>
      </c>
      <c r="BD27">
        <v>0.8664878559350635</v>
      </c>
      <c r="BE27">
        <v>1.4552340137780897</v>
      </c>
      <c r="BF27">
        <v>1.4552340137780897</v>
      </c>
      <c r="BG27">
        <v>23.87804777503419</v>
      </c>
      <c r="BH27">
        <v>34.550916662485712</v>
      </c>
      <c r="BI27">
        <v>34.551184467971574</v>
      </c>
      <c r="BJ27">
        <v>34.155509022439439</v>
      </c>
      <c r="BK27">
        <v>35.975153756438004</v>
      </c>
      <c r="BL27">
        <v>0.59581256235229851</v>
      </c>
      <c r="BM27">
        <v>0.59581256235229851</v>
      </c>
      <c r="BN27">
        <v>1.36786540079438</v>
      </c>
      <c r="BO27">
        <v>1.36786540079438</v>
      </c>
      <c r="BP27">
        <v>25.518928682245317</v>
      </c>
      <c r="BQ27">
        <v>33.839595077811687</v>
      </c>
      <c r="BR27">
        <v>33.723483134396794</v>
      </c>
      <c r="BS27">
        <v>34.160303651548332</v>
      </c>
      <c r="BT27">
        <v>35.975488723037373</v>
      </c>
      <c r="BU27">
        <v>0.59510969495581767</v>
      </c>
      <c r="BV27">
        <v>0.59510969495581767</v>
      </c>
      <c r="BW27">
        <v>1.3690050960048228</v>
      </c>
      <c r="BX27">
        <v>1.3690050960048228</v>
      </c>
      <c r="BY27">
        <v>25.616014684966625</v>
      </c>
      <c r="BZ27">
        <v>33.838064423217766</v>
      </c>
      <c r="CA27">
        <v>33.723483134396794</v>
      </c>
      <c r="CB27">
        <v>33.515040519995999</v>
      </c>
      <c r="CC27">
        <v>35.197753905766056</v>
      </c>
      <c r="CD27">
        <v>0.82238860821842907</v>
      </c>
      <c r="CE27">
        <v>0.82238860821842907</v>
      </c>
      <c r="CF27">
        <v>2.7719025435701594</v>
      </c>
      <c r="CG27">
        <v>2.7719025435701594</v>
      </c>
      <c r="CH27">
        <v>25.274337710759703</v>
      </c>
      <c r="CI27">
        <v>33.02940269977617</v>
      </c>
      <c r="CJ27">
        <v>32.898792279634215</v>
      </c>
      <c r="CK27">
        <v>33.521919814339718</v>
      </c>
      <c r="CL27">
        <v>35.197572557974432</v>
      </c>
      <c r="CM27">
        <v>0.83046929864902941</v>
      </c>
      <c r="CN27">
        <v>0.83046929864902941</v>
      </c>
      <c r="CO27">
        <v>2.7545708556075952</v>
      </c>
      <c r="CP27">
        <v>2.7545708556075952</v>
      </c>
      <c r="CQ27">
        <v>25.376690627729371</v>
      </c>
      <c r="CR27">
        <v>33.02601498120972</v>
      </c>
      <c r="CS27">
        <v>32.898792279634215</v>
      </c>
      <c r="CT27">
        <v>35.403578648527287</v>
      </c>
      <c r="CU27">
        <v>35.675947252343164</v>
      </c>
      <c r="CV27">
        <v>0.72074952321075747</v>
      </c>
      <c r="CW27">
        <v>0.72074952321075747</v>
      </c>
      <c r="CX27">
        <v>0.469439667629306</v>
      </c>
      <c r="CY27">
        <v>0.469439667629306</v>
      </c>
      <c r="CZ27">
        <v>23.611685184730767</v>
      </c>
      <c r="DA27">
        <v>34.875247935396757</v>
      </c>
      <c r="DB27">
        <v>34.102549353086189</v>
      </c>
      <c r="DC27">
        <v>35.406167829151471</v>
      </c>
      <c r="DD27">
        <v>35.678026155028043</v>
      </c>
      <c r="DE27">
        <v>0.72318266889338956</v>
      </c>
      <c r="DF27">
        <v>0.72318266889338956</v>
      </c>
      <c r="DG27">
        <v>0.46608619514623739</v>
      </c>
      <c r="DH27">
        <v>0.46608619514623739</v>
      </c>
      <c r="DI27">
        <v>23.741956047985539</v>
      </c>
      <c r="DJ27">
        <v>34.873733564229966</v>
      </c>
      <c r="DK27">
        <v>34.102549353086189</v>
      </c>
      <c r="DL27">
        <v>35.051239726715039</v>
      </c>
      <c r="DM27">
        <v>36.701989941260457</v>
      </c>
      <c r="DN27">
        <v>0.62434558698901466</v>
      </c>
      <c r="DO27">
        <v>0.62434558698901466</v>
      </c>
      <c r="DP27">
        <v>1.125419068588049</v>
      </c>
      <c r="DQ27">
        <v>1.125419068588049</v>
      </c>
      <c r="DR27">
        <v>24.55684013010665</v>
      </c>
      <c r="DS27">
        <v>34.575692539989873</v>
      </c>
      <c r="DT27">
        <v>34.04578332065087</v>
      </c>
      <c r="DU27">
        <v>35.055577808847289</v>
      </c>
      <c r="DV27">
        <v>36.701994516801342</v>
      </c>
      <c r="DW27">
        <v>0.62644309879424531</v>
      </c>
      <c r="DX27">
        <v>0.62644309879424531</v>
      </c>
      <c r="DY27">
        <v>1.1217575294177082</v>
      </c>
      <c r="DZ27">
        <v>1.1217575294177082</v>
      </c>
      <c r="EA27">
        <v>24.670076648425734</v>
      </c>
      <c r="EB27">
        <v>34.574753877758752</v>
      </c>
      <c r="EC27">
        <v>34.04578332065087</v>
      </c>
      <c r="ED27">
        <v>34.033002178183452</v>
      </c>
      <c r="EE27">
        <v>36.28727475083528</v>
      </c>
      <c r="EF27">
        <v>0.81575893909224817</v>
      </c>
      <c r="EG27">
        <v>0.81575893909224817</v>
      </c>
      <c r="EH27">
        <v>0.21917980613435639</v>
      </c>
      <c r="EI27">
        <v>0.21917980613435639</v>
      </c>
      <c r="EJ27">
        <v>26.240107472669759</v>
      </c>
      <c r="EK27">
        <v>33.272684413382564</v>
      </c>
      <c r="EL27">
        <v>32.723766382725302</v>
      </c>
      <c r="EM27">
        <v>34.044371183731563</v>
      </c>
      <c r="EN27">
        <v>36.287608183144528</v>
      </c>
      <c r="EO27">
        <v>0.8221338224268977</v>
      </c>
      <c r="EP27">
        <v>0.8221338224268977</v>
      </c>
      <c r="EQ27">
        <v>0.2106131693341266</v>
      </c>
      <c r="ER27">
        <v>0.2106131693341266</v>
      </c>
      <c r="ES27">
        <v>26.3423276253144</v>
      </c>
      <c r="ET27">
        <v>33.271170087833262</v>
      </c>
      <c r="EU27">
        <v>32.723766382725302</v>
      </c>
      <c r="EV27">
        <v>35.046797654597583</v>
      </c>
      <c r="EW27">
        <v>35.459381739942188</v>
      </c>
      <c r="EX27">
        <v>0.69677114230141823</v>
      </c>
      <c r="EY27">
        <v>0.69677114230141823</v>
      </c>
      <c r="EZ27">
        <v>0.87223916675166335</v>
      </c>
      <c r="FA27">
        <v>0.87223916675166335</v>
      </c>
      <c r="FB27">
        <v>24.174283041528341</v>
      </c>
      <c r="FC27">
        <v>34.344739057076325</v>
      </c>
      <c r="FD27">
        <v>33.66098787719973</v>
      </c>
      <c r="FE27">
        <v>35.022757473967594</v>
      </c>
      <c r="FF27">
        <v>35.4424728796549</v>
      </c>
      <c r="FG27">
        <v>0.6872096611638181</v>
      </c>
      <c r="FH27">
        <v>0.6872096611638181</v>
      </c>
      <c r="FI27">
        <v>0.88699059481086695</v>
      </c>
      <c r="FJ27">
        <v>0.88699059481086695</v>
      </c>
      <c r="FK27">
        <v>23.926025570981121</v>
      </c>
      <c r="FL27">
        <v>34.344185709721877</v>
      </c>
      <c r="FM27">
        <v>33.66098787719973</v>
      </c>
    </row>
    <row r="28" spans="1:169">
      <c r="A28">
        <v>1619</v>
      </c>
      <c r="B28">
        <v>25.776648762606253</v>
      </c>
      <c r="C28">
        <v>25.823351237393737</v>
      </c>
      <c r="D28">
        <v>0.57766487626062601</v>
      </c>
      <c r="E28">
        <v>8.7664876260625996E-2</v>
      </c>
      <c r="F28">
        <v>8.7664876260626023</v>
      </c>
      <c r="G28">
        <v>1.055532975252125</v>
      </c>
      <c r="H28">
        <v>1.3</v>
      </c>
      <c r="I28">
        <v>-1.8460923522902399E-2</v>
      </c>
      <c r="J28">
        <v>-1.8460923522902399E-2</v>
      </c>
      <c r="K28">
        <v>0.8855403660761092</v>
      </c>
      <c r="L28">
        <v>0.84368197042544479</v>
      </c>
      <c r="M28">
        <v>0.8855403660761092</v>
      </c>
      <c r="N28">
        <v>34.843456501939585</v>
      </c>
      <c r="O28">
        <v>36.229421263927165</v>
      </c>
      <c r="P28">
        <v>20.33595275810513</v>
      </c>
      <c r="Q28">
        <v>1.4198817390701279</v>
      </c>
      <c r="R28">
        <v>0.465742234820612</v>
      </c>
      <c r="S28">
        <v>24.712495213418851</v>
      </c>
      <c r="T28">
        <v>143.5596687057789</v>
      </c>
      <c r="U28">
        <v>-25.263366296875859</v>
      </c>
      <c r="V28">
        <v>-32.866878644368988</v>
      </c>
      <c r="W28">
        <v>4.0513862663514999</v>
      </c>
      <c r="X28">
        <v>-12.631077052721688</v>
      </c>
      <c r="Y28">
        <v>-63.55049632890946</v>
      </c>
      <c r="Z28">
        <v>35.102805074333972</v>
      </c>
      <c r="AA28">
        <v>36.57203893864434</v>
      </c>
      <c r="AB28">
        <v>1.0475869503633977</v>
      </c>
      <c r="AC28">
        <v>1.0475869503633977</v>
      </c>
      <c r="AD28">
        <v>1.1779056470794001E-2</v>
      </c>
      <c r="AE28">
        <v>1.1779056470794001E-2</v>
      </c>
      <c r="AF28">
        <v>22.831553164383184</v>
      </c>
      <c r="AG28">
        <v>34.488579923704741</v>
      </c>
      <c r="AH28">
        <v>33.902648313987122</v>
      </c>
      <c r="AI28">
        <v>35.100034108649368</v>
      </c>
      <c r="AJ28">
        <v>36.283539391456806</v>
      </c>
      <c r="AK28">
        <v>1.2444496128914737</v>
      </c>
      <c r="AL28">
        <v>1.2444496128914737</v>
      </c>
      <c r="AM28">
        <v>0.1462162150583648</v>
      </c>
      <c r="AN28">
        <v>0.1462162150583648</v>
      </c>
      <c r="AO28">
        <v>24.212777443317531</v>
      </c>
      <c r="AP28">
        <v>34.358031359740245</v>
      </c>
      <c r="AQ28">
        <v>34.334590710262546</v>
      </c>
      <c r="AR28">
        <v>34.980476240814795</v>
      </c>
      <c r="AS28">
        <v>36.259029810914953</v>
      </c>
      <c r="AT28">
        <v>1.2704821891675913</v>
      </c>
      <c r="AU28">
        <v>1.2704821891675913</v>
      </c>
      <c r="AV28">
        <v>-0.21337804209786609</v>
      </c>
      <c r="AW28">
        <v>-0.21337804209786609</v>
      </c>
      <c r="AX28">
        <v>24.380900837778448</v>
      </c>
      <c r="AY28">
        <v>34.216924908082262</v>
      </c>
      <c r="AZ28">
        <v>34.379318429332947</v>
      </c>
      <c r="BA28">
        <v>35.388389392182475</v>
      </c>
      <c r="BB28">
        <v>37.747486020921137</v>
      </c>
      <c r="BC28">
        <v>0.87948364832507453</v>
      </c>
      <c r="BD28">
        <v>0.87948364832507453</v>
      </c>
      <c r="BE28">
        <v>1.43227024282425</v>
      </c>
      <c r="BF28">
        <v>1.43227024282425</v>
      </c>
      <c r="BG28">
        <v>23.875429046144447</v>
      </c>
      <c r="BH28">
        <v>34.550916662485712</v>
      </c>
      <c r="BI28">
        <v>34.551184467971574</v>
      </c>
      <c r="BJ28">
        <v>34.154640585099706</v>
      </c>
      <c r="BK28">
        <v>35.978105788154913</v>
      </c>
      <c r="BL28">
        <v>0.60647115500209603</v>
      </c>
      <c r="BM28">
        <v>0.60647115500209603</v>
      </c>
      <c r="BN28">
        <v>1.3451199066356545</v>
      </c>
      <c r="BO28">
        <v>1.3451199066356545</v>
      </c>
      <c r="BP28">
        <v>25.519011130966771</v>
      </c>
      <c r="BQ28">
        <v>33.839595077811687</v>
      </c>
      <c r="BR28">
        <v>33.723483134396794</v>
      </c>
      <c r="BS28">
        <v>34.155473734563245</v>
      </c>
      <c r="BT28">
        <v>35.978489603601851</v>
      </c>
      <c r="BU28">
        <v>0.60233555027435193</v>
      </c>
      <c r="BV28">
        <v>0.60233555027435193</v>
      </c>
      <c r="BW28">
        <v>1.3518151899212172</v>
      </c>
      <c r="BX28">
        <v>1.3518151899212172</v>
      </c>
      <c r="BY28">
        <v>25.616441719767568</v>
      </c>
      <c r="BZ28">
        <v>33.838064423217766</v>
      </c>
      <c r="CA28">
        <v>33.723483134396794</v>
      </c>
      <c r="CB28">
        <v>33.511649243838193</v>
      </c>
      <c r="CC28">
        <v>35.202927685203974</v>
      </c>
      <c r="CD28">
        <v>0.82818003583539967</v>
      </c>
      <c r="CE28">
        <v>0.82818003583539967</v>
      </c>
      <c r="CF28">
        <v>2.7716019306156285</v>
      </c>
      <c r="CG28">
        <v>2.7716019306156285</v>
      </c>
      <c r="CH28">
        <v>25.27484612897986</v>
      </c>
      <c r="CI28">
        <v>33.02940269977617</v>
      </c>
      <c r="CJ28">
        <v>32.898792279634215</v>
      </c>
      <c r="CK28">
        <v>33.51858675537818</v>
      </c>
      <c r="CL28">
        <v>35.202835669681519</v>
      </c>
      <c r="CM28">
        <v>0.83630686929584286</v>
      </c>
      <c r="CN28">
        <v>0.83630686929584286</v>
      </c>
      <c r="CO28">
        <v>2.7541379227852492</v>
      </c>
      <c r="CP28">
        <v>2.7541379227852492</v>
      </c>
      <c r="CQ28">
        <v>25.377177226875723</v>
      </c>
      <c r="CR28">
        <v>33.02601498120972</v>
      </c>
      <c r="CS28">
        <v>32.898792279634215</v>
      </c>
      <c r="CT28">
        <v>35.406641622249587</v>
      </c>
      <c r="CU28">
        <v>35.681381845845927</v>
      </c>
      <c r="CV28">
        <v>0.73077099247274457</v>
      </c>
      <c r="CW28">
        <v>0.73077099247274457</v>
      </c>
      <c r="CX28">
        <v>0.45082047798059133</v>
      </c>
      <c r="CY28">
        <v>0.45082047798059133</v>
      </c>
      <c r="CZ28">
        <v>23.6107186343548</v>
      </c>
      <c r="DA28">
        <v>34.875247935396757</v>
      </c>
      <c r="DB28">
        <v>34.102549353086189</v>
      </c>
      <c r="DC28">
        <v>35.409222925021083</v>
      </c>
      <c r="DD28">
        <v>35.683476119480062</v>
      </c>
      <c r="DE28">
        <v>0.73319894108060923</v>
      </c>
      <c r="DF28">
        <v>0.73319894108060923</v>
      </c>
      <c r="DG28">
        <v>0.44748061432369779</v>
      </c>
      <c r="DH28">
        <v>0.44748061432369779</v>
      </c>
      <c r="DI28">
        <v>23.741010438639304</v>
      </c>
      <c r="DJ28">
        <v>34.873733564229966</v>
      </c>
      <c r="DK28">
        <v>34.102549353086189</v>
      </c>
      <c r="DL28">
        <v>35.051732477308988</v>
      </c>
      <c r="DM28">
        <v>36.70404612139172</v>
      </c>
      <c r="DN28">
        <v>0.63275316414696325</v>
      </c>
      <c r="DO28">
        <v>0.63275316414696325</v>
      </c>
      <c r="DP28">
        <v>1.1107561742638297</v>
      </c>
      <c r="DQ28">
        <v>1.1107561742638297</v>
      </c>
      <c r="DR28">
        <v>24.55671905490458</v>
      </c>
      <c r="DS28">
        <v>34.575692539989873</v>
      </c>
      <c r="DT28">
        <v>34.04578332065087</v>
      </c>
      <c r="DU28">
        <v>35.056066784534984</v>
      </c>
      <c r="DV28">
        <v>36.704061854507891</v>
      </c>
      <c r="DW28">
        <v>0.63484654850385303</v>
      </c>
      <c r="DX28">
        <v>0.63484654850385303</v>
      </c>
      <c r="DY28">
        <v>1.107111068426724</v>
      </c>
      <c r="DZ28">
        <v>1.107111068426724</v>
      </c>
      <c r="EA28">
        <v>24.669958772984565</v>
      </c>
      <c r="EB28">
        <v>34.574753877758752</v>
      </c>
      <c r="EC28">
        <v>34.04578332065087</v>
      </c>
      <c r="ED28">
        <v>34.031426458308829</v>
      </c>
      <c r="EE28">
        <v>36.291453758726227</v>
      </c>
      <c r="EF28">
        <v>0.82312115489787541</v>
      </c>
      <c r="EG28">
        <v>0.82312115489787541</v>
      </c>
      <c r="EH28">
        <v>0.20291109882479369</v>
      </c>
      <c r="EI28">
        <v>0.20291109882479369</v>
      </c>
      <c r="EJ28">
        <v>26.240217979150284</v>
      </c>
      <c r="EK28">
        <v>33.272684413382564</v>
      </c>
      <c r="EL28">
        <v>32.723766382725302</v>
      </c>
      <c r="EM28">
        <v>34.042842350251576</v>
      </c>
      <c r="EN28">
        <v>36.291837869852088</v>
      </c>
      <c r="EO28">
        <v>0.82951231296131933</v>
      </c>
      <c r="EP28">
        <v>0.82951231296131933</v>
      </c>
      <c r="EQ28">
        <v>0.1943424409124172</v>
      </c>
      <c r="ER28">
        <v>0.1943424409124172</v>
      </c>
      <c r="ES28">
        <v>26.342429898396286</v>
      </c>
      <c r="ET28">
        <v>33.271170087833262</v>
      </c>
      <c r="EU28">
        <v>32.723766382725302</v>
      </c>
      <c r="EV28">
        <v>35.051195199004113</v>
      </c>
      <c r="EW28">
        <v>35.469250023344486</v>
      </c>
      <c r="EX28">
        <v>0.70647109604738523</v>
      </c>
      <c r="EY28">
        <v>0.70647109604738523</v>
      </c>
      <c r="EZ28">
        <v>0.8546006253378382</v>
      </c>
      <c r="FA28">
        <v>0.8546006253378382</v>
      </c>
      <c r="FB28">
        <v>24.172875949508558</v>
      </c>
      <c r="FC28">
        <v>34.344739057076325</v>
      </c>
      <c r="FD28">
        <v>33.66098787719973</v>
      </c>
      <c r="FE28">
        <v>35.027156898533526</v>
      </c>
      <c r="FF28">
        <v>35.45209529841938</v>
      </c>
      <c r="FG28">
        <v>0.69692058957459624</v>
      </c>
      <c r="FH28">
        <v>0.69692058957459624</v>
      </c>
      <c r="FI28">
        <v>0.86929242395298556</v>
      </c>
      <c r="FJ28">
        <v>0.86929242395298556</v>
      </c>
      <c r="FK28">
        <v>23.924474320125015</v>
      </c>
      <c r="FL28">
        <v>34.344185709721877</v>
      </c>
      <c r="FM28">
        <v>33.66098787719973</v>
      </c>
    </row>
    <row r="29" spans="1:169">
      <c r="A29">
        <v>1679</v>
      </c>
      <c r="B29">
        <v>25.776648762606253</v>
      </c>
      <c r="C29">
        <v>25.823351237393737</v>
      </c>
      <c r="D29">
        <v>0.57766487626062601</v>
      </c>
      <c r="E29">
        <v>8.7664876260625996E-2</v>
      </c>
      <c r="F29">
        <v>8.7664876260626023</v>
      </c>
      <c r="G29">
        <v>1.055532975252125</v>
      </c>
      <c r="H29">
        <v>1.3</v>
      </c>
      <c r="I29">
        <v>-4.7851118219773399E-2</v>
      </c>
      <c r="J29">
        <v>-4.7851118219773399E-2</v>
      </c>
      <c r="K29">
        <v>0.91345974969444821</v>
      </c>
      <c r="L29">
        <v>0.85419218683960851</v>
      </c>
      <c r="M29">
        <v>0.91345974969444821</v>
      </c>
      <c r="N29">
        <v>34.847178952764033</v>
      </c>
      <c r="O29">
        <v>36.230803758850257</v>
      </c>
      <c r="P29">
        <v>20.33595275810513</v>
      </c>
      <c r="Q29">
        <v>1.4198817390701279</v>
      </c>
      <c r="R29">
        <v>0.465742234820612</v>
      </c>
      <c r="S29">
        <v>24.711541936608651</v>
      </c>
      <c r="T29">
        <v>143.5596687057789</v>
      </c>
      <c r="U29">
        <v>-25.271719668429405</v>
      </c>
      <c r="V29">
        <v>-32.87955419798741</v>
      </c>
      <c r="W29">
        <v>4.0513862663514999</v>
      </c>
      <c r="X29">
        <v>-12.632256114956141</v>
      </c>
      <c r="Y29">
        <v>-63.843463347104283</v>
      </c>
      <c r="Z29">
        <v>35.112159451907665</v>
      </c>
      <c r="AA29">
        <v>36.573695102685669</v>
      </c>
      <c r="AB29">
        <v>1.0647188785786641</v>
      </c>
      <c r="AC29">
        <v>1.0647188785786641</v>
      </c>
      <c r="AD29">
        <v>-1.35169827816539E-2</v>
      </c>
      <c r="AE29">
        <v>-1.35169827816539E-2</v>
      </c>
      <c r="AF29">
        <v>22.828279904989781</v>
      </c>
      <c r="AG29">
        <v>34.488579923704741</v>
      </c>
      <c r="AH29">
        <v>33.902648313987122</v>
      </c>
      <c r="AI29">
        <v>35.109978295056244</v>
      </c>
      <c r="AJ29">
        <v>36.28501780351457</v>
      </c>
      <c r="AK29">
        <v>1.2618134029407813</v>
      </c>
      <c r="AL29">
        <v>1.2618134029407813</v>
      </c>
      <c r="AM29">
        <v>0.1184517663087683</v>
      </c>
      <c r="AN29">
        <v>0.1184517663087683</v>
      </c>
      <c r="AO29">
        <v>24.210605277389867</v>
      </c>
      <c r="AP29">
        <v>34.358031359740245</v>
      </c>
      <c r="AQ29">
        <v>34.334590710262546</v>
      </c>
      <c r="AR29">
        <v>34.990831598743327</v>
      </c>
      <c r="AS29">
        <v>36.260513416788818</v>
      </c>
      <c r="AT29">
        <v>1.2879656368132832</v>
      </c>
      <c r="AU29">
        <v>1.2879656368132832</v>
      </c>
      <c r="AV29">
        <v>-0.2484881381864347</v>
      </c>
      <c r="AW29">
        <v>-0.2484881381864347</v>
      </c>
      <c r="AX29">
        <v>24.378633857897626</v>
      </c>
      <c r="AY29">
        <v>34.216924908082262</v>
      </c>
      <c r="AZ29">
        <v>34.379318429332947</v>
      </c>
      <c r="BA29">
        <v>35.397687402280759</v>
      </c>
      <c r="BB29">
        <v>37.749011191444254</v>
      </c>
      <c r="BC29">
        <v>0.89204772125608622</v>
      </c>
      <c r="BD29">
        <v>0.89204772125608622</v>
      </c>
      <c r="BE29">
        <v>1.4100634126520588</v>
      </c>
      <c r="BF29">
        <v>1.4100634126520588</v>
      </c>
      <c r="BG29">
        <v>23.872913276398929</v>
      </c>
      <c r="BH29">
        <v>34.550916662485712</v>
      </c>
      <c r="BI29">
        <v>34.551184467971574</v>
      </c>
      <c r="BJ29">
        <v>34.155356159585949</v>
      </c>
      <c r="BK29">
        <v>35.980992576929729</v>
      </c>
      <c r="BL29">
        <v>0.61676515551458211</v>
      </c>
      <c r="BM29">
        <v>0.61676515551458211</v>
      </c>
      <c r="BN29">
        <v>1.3147536098809869</v>
      </c>
      <c r="BO29">
        <v>1.3147536098809869</v>
      </c>
      <c r="BP29">
        <v>25.518947642072284</v>
      </c>
      <c r="BQ29">
        <v>33.839595077811687</v>
      </c>
      <c r="BR29">
        <v>33.723483134396794</v>
      </c>
      <c r="BS29">
        <v>34.153038045766614</v>
      </c>
      <c r="BT29">
        <v>35.981422645481359</v>
      </c>
      <c r="BU29">
        <v>0.613049094972415</v>
      </c>
      <c r="BV29">
        <v>0.613049094972415</v>
      </c>
      <c r="BW29">
        <v>1.3207487466502821</v>
      </c>
      <c r="BX29">
        <v>1.3207487466502821</v>
      </c>
      <c r="BY29">
        <v>25.616660618827961</v>
      </c>
      <c r="BZ29">
        <v>33.838064423217766</v>
      </c>
      <c r="CA29">
        <v>33.723483134396794</v>
      </c>
      <c r="CB29">
        <v>33.508239000640629</v>
      </c>
      <c r="CC29">
        <v>35.208009947673588</v>
      </c>
      <c r="CD29">
        <v>0.83369926237884284</v>
      </c>
      <c r="CE29">
        <v>0.83369926237884284</v>
      </c>
      <c r="CF29">
        <v>2.7902194963097711</v>
      </c>
      <c r="CG29">
        <v>2.7902194963097711</v>
      </c>
      <c r="CH29">
        <v>25.275357407689786</v>
      </c>
      <c r="CI29">
        <v>33.02940269977617</v>
      </c>
      <c r="CJ29">
        <v>32.898792279634215</v>
      </c>
      <c r="CK29">
        <v>33.51523219347731</v>
      </c>
      <c r="CL29">
        <v>35.208006946421591</v>
      </c>
      <c r="CM29">
        <v>0.84187050762169457</v>
      </c>
      <c r="CN29">
        <v>0.84187050762169457</v>
      </c>
      <c r="CO29">
        <v>2.7725783037476588</v>
      </c>
      <c r="CP29">
        <v>2.7725783037476588</v>
      </c>
      <c r="CQ29">
        <v>25.377666982384262</v>
      </c>
      <c r="CR29">
        <v>33.02601498120972</v>
      </c>
      <c r="CS29">
        <v>32.898792279634215</v>
      </c>
      <c r="CT29">
        <v>35.409548073088445</v>
      </c>
      <c r="CU29">
        <v>35.686440450623955</v>
      </c>
      <c r="CV29">
        <v>0.74045277984561553</v>
      </c>
      <c r="CW29">
        <v>0.74045277984561553</v>
      </c>
      <c r="CX29">
        <v>0.4255024743410738</v>
      </c>
      <c r="CY29">
        <v>0.4255024743410738</v>
      </c>
      <c r="CZ29">
        <v>23.609801514170837</v>
      </c>
      <c r="DA29">
        <v>34.875247935396757</v>
      </c>
      <c r="DB29">
        <v>34.102549353086189</v>
      </c>
      <c r="DC29">
        <v>35.412121008204011</v>
      </c>
      <c r="DD29">
        <v>35.688546884223115</v>
      </c>
      <c r="DE29">
        <v>0.74287529444592293</v>
      </c>
      <c r="DF29">
        <v>0.74287529444592293</v>
      </c>
      <c r="DG29">
        <v>0.4221832923477466</v>
      </c>
      <c r="DH29">
        <v>0.4221832923477466</v>
      </c>
      <c r="DI29">
        <v>23.740113464979064</v>
      </c>
      <c r="DJ29">
        <v>34.873733564229966</v>
      </c>
      <c r="DK29">
        <v>34.102549353086189</v>
      </c>
      <c r="DL29">
        <v>35.052138146200122</v>
      </c>
      <c r="DM29">
        <v>36.706113669550383</v>
      </c>
      <c r="DN29">
        <v>0.64089709740815026</v>
      </c>
      <c r="DO29">
        <v>0.64089709740815026</v>
      </c>
      <c r="DP29">
        <v>1.0965886270015344</v>
      </c>
      <c r="DQ29">
        <v>1.0965886270015344</v>
      </c>
      <c r="DR29">
        <v>24.556619368596259</v>
      </c>
      <c r="DS29">
        <v>34.575692539989873</v>
      </c>
      <c r="DT29">
        <v>34.04578332065087</v>
      </c>
      <c r="DU29">
        <v>35.056467574703639</v>
      </c>
      <c r="DV29">
        <v>36.706140627146425</v>
      </c>
      <c r="DW29">
        <v>0.64298635233041512</v>
      </c>
      <c r="DX29">
        <v>0.64298635233041512</v>
      </c>
      <c r="DY29">
        <v>1.0929597655452781</v>
      </c>
      <c r="DZ29">
        <v>1.0929597655452781</v>
      </c>
      <c r="EA29">
        <v>24.66986214657625</v>
      </c>
      <c r="EB29">
        <v>34.574753877758752</v>
      </c>
      <c r="EC29">
        <v>34.04578332065087</v>
      </c>
      <c r="ED29">
        <v>34.029671772201247</v>
      </c>
      <c r="EE29">
        <v>36.295632302295303</v>
      </c>
      <c r="EF29">
        <v>0.83018264493099947</v>
      </c>
      <c r="EG29">
        <v>0.83018264493099947</v>
      </c>
      <c r="EH29">
        <v>0.1774836957044916</v>
      </c>
      <c r="EI29">
        <v>0.1774836957044916</v>
      </c>
      <c r="EJ29">
        <v>26.240341097256021</v>
      </c>
      <c r="EK29">
        <v>33.272684413382564</v>
      </c>
      <c r="EL29">
        <v>32.723766382725302</v>
      </c>
      <c r="EM29">
        <v>34.041130289243554</v>
      </c>
      <c r="EN29">
        <v>36.296067380915481</v>
      </c>
      <c r="EO29">
        <v>0.83658889669776526</v>
      </c>
      <c r="EP29">
        <v>0.83658889669776526</v>
      </c>
      <c r="EQ29">
        <v>0.16893797108177019</v>
      </c>
      <c r="ER29">
        <v>0.16893797108177019</v>
      </c>
      <c r="ES29">
        <v>26.342544488998129</v>
      </c>
      <c r="ET29">
        <v>33.271170087833262</v>
      </c>
      <c r="EU29">
        <v>32.723766382725302</v>
      </c>
      <c r="EV29">
        <v>35.05534087234976</v>
      </c>
      <c r="EW29">
        <v>35.478532238482842</v>
      </c>
      <c r="EX29">
        <v>0.71584222112927254</v>
      </c>
      <c r="EY29">
        <v>0.71584222112927254</v>
      </c>
      <c r="EZ29">
        <v>0.83347636134697156</v>
      </c>
      <c r="FA29">
        <v>0.83347636134697156</v>
      </c>
      <c r="FB29">
        <v>24.1715494729625</v>
      </c>
      <c r="FC29">
        <v>34.344739057076325</v>
      </c>
      <c r="FD29">
        <v>33.66098787719973</v>
      </c>
      <c r="FE29">
        <v>35.031310905704252</v>
      </c>
      <c r="FF29">
        <v>35.461155924669136</v>
      </c>
      <c r="FG29">
        <v>0.70630430329518701</v>
      </c>
      <c r="FH29">
        <v>0.70630430329518701</v>
      </c>
      <c r="FI29">
        <v>0.8480827182712698</v>
      </c>
      <c r="FJ29">
        <v>0.8480827182712698</v>
      </c>
      <c r="FK29">
        <v>23.923009630707572</v>
      </c>
      <c r="FL29">
        <v>34.344185709721877</v>
      </c>
      <c r="FM29">
        <v>33.66098787719973</v>
      </c>
    </row>
    <row r="30" spans="1:169">
      <c r="A30">
        <v>1739</v>
      </c>
      <c r="B30">
        <v>25.776648762606253</v>
      </c>
      <c r="C30">
        <v>25.823351237393737</v>
      </c>
      <c r="D30">
        <v>0.57766487626062601</v>
      </c>
      <c r="E30">
        <v>8.7664876260625996E-2</v>
      </c>
      <c r="F30">
        <v>8.7664876260626023</v>
      </c>
      <c r="G30">
        <v>1.055532975252125</v>
      </c>
      <c r="H30">
        <v>1.3</v>
      </c>
      <c r="I30">
        <v>-7.3415574841000794E-2</v>
      </c>
      <c r="J30">
        <v>-7.3415574841000794E-2</v>
      </c>
      <c r="K30">
        <v>0.92384846263395559</v>
      </c>
      <c r="L30">
        <v>0.86434068011500054</v>
      </c>
      <c r="M30">
        <v>0.92384846263395559</v>
      </c>
      <c r="N30">
        <v>34.850696959005475</v>
      </c>
      <c r="O30">
        <v>36.232161615188573</v>
      </c>
      <c r="P30">
        <v>20.33595275810513</v>
      </c>
      <c r="Q30">
        <v>1.4198817390701279</v>
      </c>
      <c r="R30">
        <v>0.465742234820612</v>
      </c>
      <c r="S30">
        <v>24.710614726965652</v>
      </c>
      <c r="T30">
        <v>143.5596687057789</v>
      </c>
      <c r="U30">
        <v>-25.280080032523134</v>
      </c>
      <c r="V30">
        <v>-32.892222471930907</v>
      </c>
      <c r="W30">
        <v>4.0513862663514999</v>
      </c>
      <c r="X30">
        <v>-12.633410082280651</v>
      </c>
      <c r="Y30">
        <v>-64.130116088208695</v>
      </c>
      <c r="Z30">
        <v>35.121219138147609</v>
      </c>
      <c r="AA30">
        <v>36.575314567385092</v>
      </c>
      <c r="AB30">
        <v>1.08130473597876</v>
      </c>
      <c r="AC30">
        <v>1.08130473597876</v>
      </c>
      <c r="AD30">
        <v>-3.7016626943848302E-2</v>
      </c>
      <c r="AE30">
        <v>-3.7016626943848302E-2</v>
      </c>
      <c r="AF30">
        <v>22.825109786433558</v>
      </c>
      <c r="AG30">
        <v>34.488579923704741</v>
      </c>
      <c r="AH30">
        <v>33.902648313987122</v>
      </c>
      <c r="AI30">
        <v>35.119560787635528</v>
      </c>
      <c r="AJ30">
        <v>36.286464693825607</v>
      </c>
      <c r="AK30">
        <v>1.2785660224593491</v>
      </c>
      <c r="AL30">
        <v>1.2785660224593491</v>
      </c>
      <c r="AM30">
        <v>9.2632448338205206E-2</v>
      </c>
      <c r="AN30">
        <v>9.2632448338205206E-2</v>
      </c>
      <c r="AO30">
        <v>24.208512146943065</v>
      </c>
      <c r="AP30">
        <v>34.358031359740245</v>
      </c>
      <c r="AQ30">
        <v>34.334590710262546</v>
      </c>
      <c r="AR30">
        <v>35.000814168994225</v>
      </c>
      <c r="AS30">
        <v>36.261967007342243</v>
      </c>
      <c r="AT30">
        <v>1.3048373012497281</v>
      </c>
      <c r="AU30">
        <v>1.3048373012497281</v>
      </c>
      <c r="AV30">
        <v>-0.27586254591735931</v>
      </c>
      <c r="AW30">
        <v>-0.27586254591735931</v>
      </c>
      <c r="AX30">
        <v>24.376448517543469</v>
      </c>
      <c r="AY30">
        <v>34.216924908082262</v>
      </c>
      <c r="AZ30">
        <v>34.379318429332947</v>
      </c>
      <c r="BA30">
        <v>35.406629155675233</v>
      </c>
      <c r="BB30">
        <v>37.750531840115677</v>
      </c>
      <c r="BC30">
        <v>0.90420095351246399</v>
      </c>
      <c r="BD30">
        <v>0.90420095351246399</v>
      </c>
      <c r="BE30">
        <v>1.3885792132626711</v>
      </c>
      <c r="BF30">
        <v>1.3885792132626711</v>
      </c>
      <c r="BG30">
        <v>23.870493937651037</v>
      </c>
      <c r="BH30">
        <v>34.550916662485712</v>
      </c>
      <c r="BI30">
        <v>34.551184467971574</v>
      </c>
      <c r="BJ30">
        <v>34.157101405744633</v>
      </c>
      <c r="BK30">
        <v>35.983813451174719</v>
      </c>
      <c r="BL30">
        <v>0.62676213293038519</v>
      </c>
      <c r="BM30">
        <v>0.62676213293038519</v>
      </c>
      <c r="BN30">
        <v>1.293568037878321</v>
      </c>
      <c r="BO30">
        <v>1.293568037878321</v>
      </c>
      <c r="BP30">
        <v>25.518789440883619</v>
      </c>
      <c r="BQ30">
        <v>33.839595077811687</v>
      </c>
      <c r="BR30">
        <v>33.723483134396794</v>
      </c>
      <c r="BS30">
        <v>34.152750406250853</v>
      </c>
      <c r="BT30">
        <v>35.98428443100498</v>
      </c>
      <c r="BU30">
        <v>0.62299553538755914</v>
      </c>
      <c r="BV30">
        <v>0.62299553538755914</v>
      </c>
      <c r="BW30">
        <v>1.299634635732406</v>
      </c>
      <c r="BX30">
        <v>1.299634635732406</v>
      </c>
      <c r="BY30">
        <v>25.616688352641702</v>
      </c>
      <c r="BZ30">
        <v>33.838064423217766</v>
      </c>
      <c r="CA30">
        <v>33.723483134396794</v>
      </c>
      <c r="CB30">
        <v>33.50481585940198</v>
      </c>
      <c r="CC30">
        <v>35.212992852418807</v>
      </c>
      <c r="CD30">
        <v>0.83896163997110396</v>
      </c>
      <c r="CE30">
        <v>0.83896163997110396</v>
      </c>
      <c r="CF30">
        <v>2.7901510430556851</v>
      </c>
      <c r="CG30">
        <v>2.7901510430556851</v>
      </c>
      <c r="CH30">
        <v>25.275870636371707</v>
      </c>
      <c r="CI30">
        <v>33.02940269977617</v>
      </c>
      <c r="CJ30">
        <v>32.898792279634215</v>
      </c>
      <c r="CK30">
        <v>33.511862390085369</v>
      </c>
      <c r="CL30">
        <v>35.213078398291842</v>
      </c>
      <c r="CM30">
        <v>0.84717567715132791</v>
      </c>
      <c r="CN30">
        <v>0.84717567715132791</v>
      </c>
      <c r="CO30">
        <v>2.772386751942125</v>
      </c>
      <c r="CP30">
        <v>2.772386751942125</v>
      </c>
      <c r="CQ30">
        <v>25.378158979414223</v>
      </c>
      <c r="CR30">
        <v>33.02601498120972</v>
      </c>
      <c r="CS30">
        <v>32.898792279634215</v>
      </c>
      <c r="CT30">
        <v>35.4123132365456</v>
      </c>
      <c r="CU30">
        <v>35.691157318501993</v>
      </c>
      <c r="CV30">
        <v>0.74981337212592702</v>
      </c>
      <c r="CW30">
        <v>0.74981337212592702</v>
      </c>
      <c r="CX30">
        <v>0.4082644452777861</v>
      </c>
      <c r="CY30">
        <v>0.4082644452777861</v>
      </c>
      <c r="CZ30">
        <v>23.60892901414514</v>
      </c>
      <c r="DA30">
        <v>34.875247935396757</v>
      </c>
      <c r="DB30">
        <v>34.102549353086189</v>
      </c>
      <c r="DC30">
        <v>35.414877408968351</v>
      </c>
      <c r="DD30">
        <v>35.69327310625642</v>
      </c>
      <c r="DE30">
        <v>0.75223026617690358</v>
      </c>
      <c r="DF30">
        <v>0.75223026617690358</v>
      </c>
      <c r="DG30">
        <v>0.40495844622772997</v>
      </c>
      <c r="DH30">
        <v>0.40495844622772997</v>
      </c>
      <c r="DI30">
        <v>23.739260379708369</v>
      </c>
      <c r="DJ30">
        <v>34.873733564229966</v>
      </c>
      <c r="DK30">
        <v>34.102549353086189</v>
      </c>
      <c r="DL30">
        <v>35.052470493748046</v>
      </c>
      <c r="DM30">
        <v>36.708190091818267</v>
      </c>
      <c r="DN30">
        <v>0.64878976539335254</v>
      </c>
      <c r="DO30">
        <v>0.64878976539335254</v>
      </c>
      <c r="DP30">
        <v>1.0828920266659543</v>
      </c>
      <c r="DQ30">
        <v>1.0828920266659543</v>
      </c>
      <c r="DR30">
        <v>24.55653769393497</v>
      </c>
      <c r="DS30">
        <v>34.575692539989873</v>
      </c>
      <c r="DT30">
        <v>34.04578332065087</v>
      </c>
      <c r="DU30">
        <v>35.056794122006799</v>
      </c>
      <c r="DV30">
        <v>36.708228315991988</v>
      </c>
      <c r="DW30">
        <v>0.65087489358746531</v>
      </c>
      <c r="DX30">
        <v>0.65087489358746531</v>
      </c>
      <c r="DY30">
        <v>1.0792791919884921</v>
      </c>
      <c r="DZ30">
        <v>1.0792791919884921</v>
      </c>
      <c r="EA30">
        <v>24.669783412117027</v>
      </c>
      <c r="EB30">
        <v>34.574753877758752</v>
      </c>
      <c r="EC30">
        <v>34.04578332065087</v>
      </c>
      <c r="ED30">
        <v>34.027765417776749</v>
      </c>
      <c r="EE30">
        <v>36.299802950432849</v>
      </c>
      <c r="EF30">
        <v>0.83696108557799143</v>
      </c>
      <c r="EG30">
        <v>0.83696108557799143</v>
      </c>
      <c r="EH30">
        <v>0.16255339185957379</v>
      </c>
      <c r="EI30">
        <v>0.16255339185957379</v>
      </c>
      <c r="EJ30">
        <v>26.240474904191665</v>
      </c>
      <c r="EK30">
        <v>33.272684413382564</v>
      </c>
      <c r="EL30">
        <v>32.723766382725302</v>
      </c>
      <c r="EM30">
        <v>34.039262748002137</v>
      </c>
      <c r="EN30">
        <v>36.30028917708502</v>
      </c>
      <c r="EO30">
        <v>0.84338134680808485</v>
      </c>
      <c r="EP30">
        <v>0.84338134680808485</v>
      </c>
      <c r="EQ30">
        <v>0.1540065868288425</v>
      </c>
      <c r="ER30">
        <v>0.1540065868288425</v>
      </c>
      <c r="ES30">
        <v>26.342669532604376</v>
      </c>
      <c r="ET30">
        <v>33.271170087833262</v>
      </c>
      <c r="EU30">
        <v>32.723766382725302</v>
      </c>
      <c r="EV30">
        <v>35.059253667743896</v>
      </c>
      <c r="EW30">
        <v>35.487264670141904</v>
      </c>
      <c r="EX30">
        <v>0.72490068796186913</v>
      </c>
      <c r="EY30">
        <v>0.72490068796186913</v>
      </c>
      <c r="EZ30">
        <v>0.81714957215812878</v>
      </c>
      <c r="FA30">
        <v>0.81714957215812878</v>
      </c>
      <c r="FB30">
        <v>24.170297534832951</v>
      </c>
      <c r="FC30">
        <v>34.344739057076325</v>
      </c>
      <c r="FD30">
        <v>33.66098787719973</v>
      </c>
      <c r="FE30">
        <v>35.035237817242056</v>
      </c>
      <c r="FF30">
        <v>35.469689194304607</v>
      </c>
      <c r="FG30">
        <v>0.71537679280872002</v>
      </c>
      <c r="FH30">
        <v>0.71537679280872002</v>
      </c>
      <c r="FI30">
        <v>0.83169817525824752</v>
      </c>
      <c r="FJ30">
        <v>0.83169817525824752</v>
      </c>
      <c r="FK30">
        <v>23.921625042641125</v>
      </c>
      <c r="FL30">
        <v>34.344185709721877</v>
      </c>
      <c r="FM30">
        <v>33.66098787719973</v>
      </c>
    </row>
    <row r="31" spans="1:169">
      <c r="A31">
        <v>1799</v>
      </c>
      <c r="B31">
        <v>25.776648762606253</v>
      </c>
      <c r="C31">
        <v>25.823351237393737</v>
      </c>
      <c r="D31">
        <v>0.57766487626062601</v>
      </c>
      <c r="E31">
        <v>8.7664876260625996E-2</v>
      </c>
      <c r="F31">
        <v>8.7664876260626023</v>
      </c>
      <c r="G31">
        <v>1.055532975252125</v>
      </c>
      <c r="H31">
        <v>1.3</v>
      </c>
      <c r="I31">
        <v>-9.80674437989702E-2</v>
      </c>
      <c r="J31">
        <v>-9.80674437989702E-2</v>
      </c>
      <c r="K31">
        <v>0.9338685464635188</v>
      </c>
      <c r="L31">
        <v>0.87414170020217119</v>
      </c>
      <c r="M31">
        <v>0.9338685464635188</v>
      </c>
      <c r="N31">
        <v>34.854026841885307</v>
      </c>
      <c r="O31">
        <v>36.233493488960868</v>
      </c>
      <c r="P31">
        <v>20.33595275810513</v>
      </c>
      <c r="Q31">
        <v>1.4198817390701279</v>
      </c>
      <c r="R31">
        <v>0.465742234820612</v>
      </c>
      <c r="S31">
        <v>24.709716771093209</v>
      </c>
      <c r="T31">
        <v>143.5596687057789</v>
      </c>
      <c r="U31">
        <v>-25.288303492034725</v>
      </c>
      <c r="V31">
        <v>-32.904687715224611</v>
      </c>
      <c r="W31">
        <v>4.0513862663514999</v>
      </c>
      <c r="X31">
        <v>-12.634540897281076</v>
      </c>
      <c r="Y31">
        <v>-64.410238477982858</v>
      </c>
      <c r="Z31">
        <v>35.129995749792741</v>
      </c>
      <c r="AA31">
        <v>36.576899464690243</v>
      </c>
      <c r="AB31">
        <v>1.0973606541453282</v>
      </c>
      <c r="AC31">
        <v>1.0973606541453282</v>
      </c>
      <c r="AD31">
        <v>-5.9714302217760099E-2</v>
      </c>
      <c r="AE31">
        <v>-5.9714302217760099E-2</v>
      </c>
      <c r="AF31">
        <v>22.822038726901745</v>
      </c>
      <c r="AG31">
        <v>34.488579923704741</v>
      </c>
      <c r="AH31">
        <v>33.902648313987122</v>
      </c>
      <c r="AI31">
        <v>35.12880113784437</v>
      </c>
      <c r="AJ31">
        <v>36.287882474572207</v>
      </c>
      <c r="AK31">
        <v>1.2947321557722016</v>
      </c>
      <c r="AL31">
        <v>1.2947321557722016</v>
      </c>
      <c r="AM31">
        <v>6.7730866278018706E-2</v>
      </c>
      <c r="AN31">
        <v>6.7730866278018706E-2</v>
      </c>
      <c r="AO31">
        <v>24.206493771353198</v>
      </c>
      <c r="AP31">
        <v>34.358031359740245</v>
      </c>
      <c r="AQ31">
        <v>34.334590710262546</v>
      </c>
      <c r="AR31">
        <v>35.010444258912997</v>
      </c>
      <c r="AS31">
        <v>36.263392917387677</v>
      </c>
      <c r="AT31">
        <v>1.3211219563495511</v>
      </c>
      <c r="AU31">
        <v>1.3211219563495511</v>
      </c>
      <c r="AV31">
        <v>-0.30221889545716918</v>
      </c>
      <c r="AW31">
        <v>-0.30221889545716918</v>
      </c>
      <c r="AX31">
        <v>24.374340363080403</v>
      </c>
      <c r="AY31">
        <v>34.216924908082262</v>
      </c>
      <c r="AZ31">
        <v>34.379318429332947</v>
      </c>
      <c r="BA31">
        <v>35.415235366327344</v>
      </c>
      <c r="BB31">
        <v>37.752046855930843</v>
      </c>
      <c r="BC31">
        <v>0.91595634982633645</v>
      </c>
      <c r="BD31">
        <v>0.91595634982633645</v>
      </c>
      <c r="BE31">
        <v>1.3677966228288172</v>
      </c>
      <c r="BF31">
        <v>1.3677966228288172</v>
      </c>
      <c r="BG31">
        <v>23.868165413005524</v>
      </c>
      <c r="BH31">
        <v>34.550916662485712</v>
      </c>
      <c r="BI31">
        <v>34.551184467971574</v>
      </c>
      <c r="BJ31">
        <v>34.159563508273479</v>
      </c>
      <c r="BK31">
        <v>35.986569709679543</v>
      </c>
      <c r="BL31">
        <v>0.63652736691970668</v>
      </c>
      <c r="BM31">
        <v>0.63652736691970668</v>
      </c>
      <c r="BN31">
        <v>1.2729887438453458</v>
      </c>
      <c r="BO31">
        <v>1.2729887438453458</v>
      </c>
      <c r="BP31">
        <v>25.518565350762</v>
      </c>
      <c r="BQ31">
        <v>33.839595077811687</v>
      </c>
      <c r="BR31">
        <v>33.723483134396794</v>
      </c>
      <c r="BS31">
        <v>34.153758820404683</v>
      </c>
      <c r="BT31">
        <v>35.987073877555957</v>
      </c>
      <c r="BU31">
        <v>0.6326481829168018</v>
      </c>
      <c r="BV31">
        <v>0.6326481829168018</v>
      </c>
      <c r="BW31">
        <v>1.279226493795254</v>
      </c>
      <c r="BX31">
        <v>1.279226493795254</v>
      </c>
      <c r="BY31">
        <v>25.616601006763599</v>
      </c>
      <c r="BZ31">
        <v>33.838064423217766</v>
      </c>
      <c r="CA31">
        <v>33.723483134396794</v>
      </c>
      <c r="CB31">
        <v>33.501386312148171</v>
      </c>
      <c r="CC31">
        <v>35.217869828415751</v>
      </c>
      <c r="CD31">
        <v>0.84397862369067456</v>
      </c>
      <c r="CE31">
        <v>0.84397862369067456</v>
      </c>
      <c r="CF31">
        <v>2.7901605001900305</v>
      </c>
      <c r="CG31">
        <v>2.7901605001900305</v>
      </c>
      <c r="CH31">
        <v>25.276384841386449</v>
      </c>
      <c r="CI31">
        <v>33.02940269977617</v>
      </c>
      <c r="CJ31">
        <v>32.898792279634215</v>
      </c>
      <c r="CK31">
        <v>33.508484006663821</v>
      </c>
      <c r="CL31">
        <v>35.218043321898975</v>
      </c>
      <c r="CM31">
        <v>0.85223393227871114</v>
      </c>
      <c r="CN31">
        <v>0.85223393227871114</v>
      </c>
      <c r="CO31">
        <v>2.7722774758586488</v>
      </c>
      <c r="CP31">
        <v>2.7722774758586488</v>
      </c>
      <c r="CQ31">
        <v>25.378652245028839</v>
      </c>
      <c r="CR31">
        <v>33.02601498120972</v>
      </c>
      <c r="CS31">
        <v>32.898792279634215</v>
      </c>
      <c r="CT31">
        <v>35.414950067082003</v>
      </c>
      <c r="CU31">
        <v>35.695563634459845</v>
      </c>
      <c r="CV31">
        <v>0.75886510768946369</v>
      </c>
      <c r="CW31">
        <v>0.75886510768946369</v>
      </c>
      <c r="CX31">
        <v>0.39165908668192978</v>
      </c>
      <c r="CY31">
        <v>0.39165908668192978</v>
      </c>
      <c r="CZ31">
        <v>23.608097036159865</v>
      </c>
      <c r="DA31">
        <v>34.875247935396757</v>
      </c>
      <c r="DB31">
        <v>34.102549353086189</v>
      </c>
      <c r="DC31">
        <v>35.417505167124602</v>
      </c>
      <c r="DD31">
        <v>35.697686329180875</v>
      </c>
      <c r="DE31">
        <v>0.76127624046303755</v>
      </c>
      <c r="DF31">
        <v>0.76127624046303755</v>
      </c>
      <c r="DG31">
        <v>0.38836608911397169</v>
      </c>
      <c r="DH31">
        <v>0.38836608911397169</v>
      </c>
      <c r="DI31">
        <v>23.73844713673763</v>
      </c>
      <c r="DJ31">
        <v>34.873733564229966</v>
      </c>
      <c r="DK31">
        <v>34.102549353086189</v>
      </c>
      <c r="DL31">
        <v>35.052741587814303</v>
      </c>
      <c r="DM31">
        <v>36.71027306063182</v>
      </c>
      <c r="DN31">
        <v>0.65643796050397318</v>
      </c>
      <c r="DO31">
        <v>0.65643796050397318</v>
      </c>
      <c r="DP31">
        <v>1.0696517822218674</v>
      </c>
      <c r="DQ31">
        <v>1.0696517822218674</v>
      </c>
      <c r="DR31">
        <v>24.556471067171358</v>
      </c>
      <c r="DS31">
        <v>34.575692539989873</v>
      </c>
      <c r="DT31">
        <v>34.04578332065087</v>
      </c>
      <c r="DU31">
        <v>35.057058650416359</v>
      </c>
      <c r="DV31">
        <v>36.710322570624825</v>
      </c>
      <c r="DW31">
        <v>0.65851897363495882</v>
      </c>
      <c r="DX31">
        <v>0.65851897363495882</v>
      </c>
      <c r="DY31">
        <v>1.0660547211438185</v>
      </c>
      <c r="DZ31">
        <v>1.0660547211438185</v>
      </c>
      <c r="EA31">
        <v>24.669719624491989</v>
      </c>
      <c r="EB31">
        <v>34.574753877758752</v>
      </c>
      <c r="EC31">
        <v>34.04578332065087</v>
      </c>
      <c r="ED31">
        <v>34.02573173711852</v>
      </c>
      <c r="EE31">
        <v>36.303958922262886</v>
      </c>
      <c r="EF31">
        <v>0.8434696477635355</v>
      </c>
      <c r="EG31">
        <v>0.8434696477635355</v>
      </c>
      <c r="EH31">
        <v>0.1482416629943093</v>
      </c>
      <c r="EI31">
        <v>0.1482416629943093</v>
      </c>
      <c r="EJ31">
        <v>26.240617685779501</v>
      </c>
      <c r="EK31">
        <v>33.272684413382564</v>
      </c>
      <c r="EL31">
        <v>32.723766382725302</v>
      </c>
      <c r="EM31">
        <v>34.037264460766998</v>
      </c>
      <c r="EN31">
        <v>36.304496377777497</v>
      </c>
      <c r="EO31">
        <v>0.84990292346005081</v>
      </c>
      <c r="EP31">
        <v>0.84990292346005081</v>
      </c>
      <c r="EQ31">
        <v>0.13969422504952411</v>
      </c>
      <c r="ER31">
        <v>0.13969422504952411</v>
      </c>
      <c r="ES31">
        <v>26.342803367566027</v>
      </c>
      <c r="ET31">
        <v>33.271170087833262</v>
      </c>
      <c r="EU31">
        <v>32.723766382725302</v>
      </c>
      <c r="EV31">
        <v>35.06295089365284</v>
      </c>
      <c r="EW31">
        <v>35.495481651635799</v>
      </c>
      <c r="EX31">
        <v>0.73365641965981654</v>
      </c>
      <c r="EY31">
        <v>0.73365641965981654</v>
      </c>
      <c r="EZ31">
        <v>0.80142655412269526</v>
      </c>
      <c r="FA31">
        <v>0.80142655412269526</v>
      </c>
      <c r="FB31">
        <v>24.169114591445812</v>
      </c>
      <c r="FC31">
        <v>34.344739057076325</v>
      </c>
      <c r="FD31">
        <v>33.66098787719973</v>
      </c>
      <c r="FE31">
        <v>35.038954321169022</v>
      </c>
      <c r="FF31">
        <v>35.477727713004363</v>
      </c>
      <c r="FG31">
        <v>0.72414779784458139</v>
      </c>
      <c r="FH31">
        <v>0.72414779784458139</v>
      </c>
      <c r="FI31">
        <v>0.81591809047632791</v>
      </c>
      <c r="FJ31">
        <v>0.81591809047632791</v>
      </c>
      <c r="FK31">
        <v>23.92031466559461</v>
      </c>
      <c r="FL31">
        <v>34.344185709721877</v>
      </c>
      <c r="FM31">
        <v>33.66098787719973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25F9-C5B1-45EB-B5BE-904CE994E443}">
  <sheetPr codeName="Sheet6">
    <tabColor theme="8" tint="0.79998168889431442"/>
  </sheetPr>
  <dimension ref="B1:V75"/>
  <sheetViews>
    <sheetView zoomScale="85" zoomScaleNormal="85" workbookViewId="0">
      <pane xSplit="4" ySplit="2" topLeftCell="E3" activePane="bottomRight" state="frozen"/>
      <selection activeCell="L58" sqref="L58"/>
      <selection pane="topRight" activeCell="L58" sqref="L58"/>
      <selection pane="bottomLeft" activeCell="L58" sqref="L58"/>
      <selection pane="bottomRight" activeCell="K7" sqref="K7"/>
    </sheetView>
  </sheetViews>
  <sheetFormatPr defaultColWidth="9" defaultRowHeight="24" customHeight="1"/>
  <cols>
    <col min="1" max="1" width="3.1328125" style="42" customWidth="1"/>
    <col min="2" max="2" width="41.6640625" style="43" bestFit="1" customWidth="1"/>
    <col min="3" max="3" width="13.46484375" style="44" bestFit="1" customWidth="1"/>
    <col min="4" max="4" width="51.1328125" style="43" customWidth="1"/>
    <col min="5" max="5" width="11.6640625" style="45" bestFit="1" customWidth="1"/>
    <col min="6" max="6" width="5.53125" style="42" bestFit="1" customWidth="1"/>
    <col min="7" max="7" width="5.3984375" style="46" bestFit="1" customWidth="1"/>
    <col min="8" max="8" width="6" style="42" bestFit="1" customWidth="1"/>
    <col min="9" max="9" width="5.33203125" style="47" bestFit="1" customWidth="1"/>
    <col min="10" max="10" width="6.1328125" style="47" bestFit="1" customWidth="1"/>
    <col min="11" max="11" width="10.46484375" style="47" bestFit="1" customWidth="1"/>
    <col min="12" max="12" width="6.265625" style="47" bestFit="1" customWidth="1"/>
    <col min="13" max="13" width="7.265625" style="47" bestFit="1" customWidth="1"/>
    <col min="14" max="14" width="10.796875" style="47" bestFit="1" customWidth="1"/>
    <col min="15" max="15" width="6.59765625" style="47" bestFit="1" customWidth="1"/>
    <col min="16" max="16" width="7.59765625" style="47" bestFit="1" customWidth="1"/>
    <col min="17" max="17" width="7.46484375" style="47" bestFit="1" customWidth="1"/>
    <col min="18" max="18" width="5.86328125" style="47" bestFit="1" customWidth="1"/>
    <col min="19" max="19" width="6.46484375" style="47" bestFit="1" customWidth="1"/>
    <col min="20" max="20" width="7.73046875" style="47" bestFit="1" customWidth="1"/>
    <col min="21" max="21" width="6.19921875" style="47" bestFit="1" customWidth="1"/>
    <col min="22" max="22" width="6.796875" style="47" bestFit="1" customWidth="1"/>
    <col min="23" max="16384" width="9" style="42"/>
  </cols>
  <sheetData>
    <row r="1" spans="2:22" ht="24" customHeight="1">
      <c r="B1" s="48"/>
      <c r="C1" s="49"/>
      <c r="D1" s="48" t="s">
        <v>349</v>
      </c>
      <c r="E1" s="50"/>
      <c r="F1" s="49">
        <v>1</v>
      </c>
      <c r="G1" s="51">
        <v>2</v>
      </c>
      <c r="H1" s="49">
        <v>3</v>
      </c>
      <c r="I1" s="52">
        <v>4</v>
      </c>
      <c r="J1" s="52">
        <v>5</v>
      </c>
      <c r="K1" s="52">
        <v>6</v>
      </c>
      <c r="L1" s="52">
        <v>7</v>
      </c>
      <c r="M1" s="52">
        <v>8</v>
      </c>
      <c r="N1" s="52">
        <v>9</v>
      </c>
      <c r="O1" s="52">
        <v>10</v>
      </c>
      <c r="P1" s="52">
        <v>11</v>
      </c>
      <c r="Q1" s="52">
        <v>12</v>
      </c>
      <c r="R1" s="52">
        <v>13</v>
      </c>
      <c r="S1" s="52">
        <v>14</v>
      </c>
      <c r="T1" s="52">
        <v>15</v>
      </c>
      <c r="U1" s="52">
        <v>16</v>
      </c>
      <c r="V1" s="52">
        <v>17</v>
      </c>
    </row>
    <row r="2" spans="2:22" ht="24" customHeight="1">
      <c r="B2" s="48" t="s">
        <v>286</v>
      </c>
      <c r="C2" s="49" t="s">
        <v>348</v>
      </c>
      <c r="D2" s="48" t="s">
        <v>350</v>
      </c>
      <c r="E2" s="53" t="s">
        <v>287</v>
      </c>
      <c r="F2" s="49" t="s">
        <v>2</v>
      </c>
      <c r="G2" s="51" t="s">
        <v>22</v>
      </c>
      <c r="H2" s="49" t="s">
        <v>4</v>
      </c>
      <c r="I2" s="52" t="s">
        <v>5</v>
      </c>
      <c r="J2" s="52" t="s">
        <v>6</v>
      </c>
      <c r="K2" s="52" t="s">
        <v>288</v>
      </c>
      <c r="L2" s="52" t="s">
        <v>289</v>
      </c>
      <c r="M2" s="52" t="s">
        <v>290</v>
      </c>
      <c r="N2" s="52" t="s">
        <v>291</v>
      </c>
      <c r="O2" s="52" t="s">
        <v>292</v>
      </c>
      <c r="P2" s="52" t="s">
        <v>293</v>
      </c>
      <c r="Q2" s="52" t="s">
        <v>294</v>
      </c>
      <c r="R2" s="52" t="s">
        <v>295</v>
      </c>
      <c r="S2" s="52" t="s">
        <v>296</v>
      </c>
      <c r="T2" s="52" t="s">
        <v>297</v>
      </c>
      <c r="U2" s="52" t="s">
        <v>298</v>
      </c>
      <c r="V2" s="52" t="s">
        <v>299</v>
      </c>
    </row>
    <row r="3" spans="2:22" ht="37.25" customHeight="1">
      <c r="B3" s="54" t="s">
        <v>347</v>
      </c>
      <c r="C3" s="49">
        <v>1</v>
      </c>
      <c r="D3" s="55" t="s">
        <v>300</v>
      </c>
      <c r="E3" s="56">
        <v>0.01</v>
      </c>
      <c r="F3" s="57">
        <v>0.13</v>
      </c>
      <c r="G3" s="58">
        <v>0.13</v>
      </c>
      <c r="H3" s="57">
        <v>0.01</v>
      </c>
      <c r="I3" s="59">
        <v>0.01</v>
      </c>
      <c r="J3" s="59">
        <v>0.04</v>
      </c>
      <c r="K3" s="59">
        <v>0.02</v>
      </c>
      <c r="L3" s="59">
        <v>0</v>
      </c>
      <c r="M3" s="59">
        <v>0.01</v>
      </c>
      <c r="N3" s="59">
        <v>0.02</v>
      </c>
      <c r="O3" s="59">
        <v>0</v>
      </c>
      <c r="P3" s="59">
        <v>0.01</v>
      </c>
      <c r="Q3" s="59">
        <v>0.01</v>
      </c>
      <c r="R3" s="59">
        <v>0.03</v>
      </c>
      <c r="S3" s="59">
        <v>0.05</v>
      </c>
      <c r="T3" s="59">
        <v>0.01</v>
      </c>
      <c r="U3" s="59">
        <v>0.03</v>
      </c>
      <c r="V3" s="59">
        <v>0.05</v>
      </c>
    </row>
    <row r="4" spans="2:22" ht="37.25" customHeight="1">
      <c r="B4" s="48"/>
      <c r="C4" s="49">
        <v>2</v>
      </c>
      <c r="D4" s="55" t="s">
        <v>301</v>
      </c>
      <c r="E4" s="56">
        <v>-0.02</v>
      </c>
      <c r="F4" s="57">
        <v>0.13</v>
      </c>
      <c r="G4" s="58">
        <v>0.13</v>
      </c>
      <c r="H4" s="57">
        <v>0.05</v>
      </c>
      <c r="I4" s="59">
        <v>-0.14000000000000001</v>
      </c>
      <c r="J4" s="59">
        <v>-0.01</v>
      </c>
      <c r="K4" s="59">
        <v>-0.01</v>
      </c>
      <c r="L4" s="59">
        <v>-0.01</v>
      </c>
      <c r="M4" s="59">
        <v>-0.02</v>
      </c>
      <c r="N4" s="59">
        <v>-0.01</v>
      </c>
      <c r="O4" s="59">
        <v>-0.01</v>
      </c>
      <c r="P4" s="59">
        <v>-0.02</v>
      </c>
      <c r="Q4" s="59">
        <v>-0.1</v>
      </c>
      <c r="R4" s="59">
        <v>0</v>
      </c>
      <c r="S4" s="59">
        <v>0</v>
      </c>
      <c r="T4" s="59">
        <v>-0.1</v>
      </c>
      <c r="U4" s="59">
        <v>0</v>
      </c>
      <c r="V4" s="59">
        <v>0</v>
      </c>
    </row>
    <row r="5" spans="2:22" ht="37.25" customHeight="1">
      <c r="B5" s="48"/>
      <c r="C5" s="49">
        <v>3</v>
      </c>
      <c r="D5" s="55" t="s">
        <v>302</v>
      </c>
      <c r="E5" s="56">
        <v>0.03</v>
      </c>
      <c r="F5" s="57">
        <v>0</v>
      </c>
      <c r="G5" s="58">
        <v>0</v>
      </c>
      <c r="H5" s="57">
        <v>0</v>
      </c>
      <c r="I5" s="59">
        <v>0</v>
      </c>
      <c r="J5" s="59">
        <v>0.24</v>
      </c>
      <c r="K5" s="59">
        <v>0</v>
      </c>
      <c r="L5" s="59">
        <v>0</v>
      </c>
      <c r="M5" s="59">
        <v>0</v>
      </c>
      <c r="N5" s="59">
        <v>0</v>
      </c>
      <c r="O5" s="59">
        <v>0</v>
      </c>
      <c r="P5" s="59">
        <v>0</v>
      </c>
      <c r="Q5" s="59">
        <v>0.05</v>
      </c>
      <c r="R5" s="59">
        <v>0</v>
      </c>
      <c r="S5" s="59">
        <v>0.05</v>
      </c>
      <c r="T5" s="59">
        <v>0.05</v>
      </c>
      <c r="U5" s="59">
        <v>0</v>
      </c>
      <c r="V5" s="59">
        <v>0.05</v>
      </c>
    </row>
    <row r="6" spans="2:22" ht="37.25" customHeight="1">
      <c r="B6" s="48"/>
      <c r="C6" s="49">
        <v>4</v>
      </c>
      <c r="D6" s="55" t="s">
        <v>303</v>
      </c>
      <c r="E6" s="56">
        <v>0.05</v>
      </c>
      <c r="F6" s="57">
        <v>0</v>
      </c>
      <c r="G6" s="58">
        <v>0</v>
      </c>
      <c r="H6" s="57">
        <v>0.22</v>
      </c>
      <c r="I6" s="59">
        <v>0</v>
      </c>
      <c r="J6" s="59">
        <v>0.18</v>
      </c>
      <c r="K6" s="59">
        <v>0</v>
      </c>
      <c r="L6" s="59">
        <v>0</v>
      </c>
      <c r="M6" s="59">
        <v>0</v>
      </c>
      <c r="N6" s="59">
        <v>0</v>
      </c>
      <c r="O6" s="59">
        <v>0</v>
      </c>
      <c r="P6" s="59">
        <v>0</v>
      </c>
      <c r="Q6" s="59">
        <v>0.03</v>
      </c>
      <c r="R6" s="59">
        <v>0.03</v>
      </c>
      <c r="S6" s="59">
        <v>0.08</v>
      </c>
      <c r="T6" s="59">
        <v>0.03</v>
      </c>
      <c r="U6" s="59">
        <v>0.03</v>
      </c>
      <c r="V6" s="59">
        <v>0.08</v>
      </c>
    </row>
    <row r="7" spans="2:22" ht="37.25" customHeight="1">
      <c r="B7" s="48"/>
      <c r="C7" s="49">
        <v>5</v>
      </c>
      <c r="D7" s="55" t="s">
        <v>304</v>
      </c>
      <c r="E7" s="56">
        <v>0.22</v>
      </c>
      <c r="F7" s="57">
        <v>0</v>
      </c>
      <c r="G7" s="58">
        <v>0</v>
      </c>
      <c r="H7" s="57">
        <v>0.56999999999999995</v>
      </c>
      <c r="I7" s="59">
        <v>0.27</v>
      </c>
      <c r="J7" s="59">
        <v>0.92</v>
      </c>
      <c r="K7" s="59">
        <v>0.04</v>
      </c>
      <c r="L7" s="59">
        <v>0.02</v>
      </c>
      <c r="M7" s="59">
        <v>0.02</v>
      </c>
      <c r="N7" s="59">
        <v>0.04</v>
      </c>
      <c r="O7" s="59">
        <v>0.02</v>
      </c>
      <c r="P7" s="59">
        <v>0.02</v>
      </c>
      <c r="Q7" s="59">
        <v>0.51</v>
      </c>
      <c r="R7" s="59">
        <v>0.01</v>
      </c>
      <c r="S7" s="59">
        <v>0.38</v>
      </c>
      <c r="T7" s="59">
        <v>0.51</v>
      </c>
      <c r="U7" s="59">
        <v>0.01</v>
      </c>
      <c r="V7" s="59">
        <v>0.38</v>
      </c>
    </row>
    <row r="8" spans="2:22" ht="37.25" customHeight="1">
      <c r="B8" s="48"/>
      <c r="C8" s="49">
        <v>6</v>
      </c>
      <c r="D8" s="55" t="s">
        <v>305</v>
      </c>
      <c r="E8" s="56">
        <v>0.43</v>
      </c>
      <c r="F8" s="57">
        <v>0</v>
      </c>
      <c r="G8" s="58">
        <v>0</v>
      </c>
      <c r="H8" s="57">
        <v>1.43</v>
      </c>
      <c r="I8" s="59">
        <v>1.02</v>
      </c>
      <c r="J8" s="59">
        <v>1.45</v>
      </c>
      <c r="K8" s="59">
        <v>0.28999999999999998</v>
      </c>
      <c r="L8" s="59">
        <v>0.22</v>
      </c>
      <c r="M8" s="59">
        <v>0.01</v>
      </c>
      <c r="N8" s="59">
        <v>0.28999999999999998</v>
      </c>
      <c r="O8" s="59">
        <v>0.22</v>
      </c>
      <c r="P8" s="59">
        <v>0.01</v>
      </c>
      <c r="Q8" s="59">
        <v>0.56999999999999995</v>
      </c>
      <c r="R8" s="59">
        <v>0.01</v>
      </c>
      <c r="S8" s="59">
        <v>0.4</v>
      </c>
      <c r="T8" s="59">
        <v>0.56999999999999995</v>
      </c>
      <c r="U8" s="59">
        <v>0.01</v>
      </c>
      <c r="V8" s="59">
        <v>0.4</v>
      </c>
    </row>
    <row r="9" spans="2:22" ht="37.25" customHeight="1">
      <c r="B9" s="48"/>
      <c r="C9" s="49">
        <v>7</v>
      </c>
      <c r="D9" s="55" t="s">
        <v>306</v>
      </c>
      <c r="E9" s="56">
        <v>0.28999999999999998</v>
      </c>
      <c r="F9" s="57">
        <v>0</v>
      </c>
      <c r="G9" s="58">
        <v>0</v>
      </c>
      <c r="H9" s="57">
        <v>0.85</v>
      </c>
      <c r="I9" s="59">
        <v>0.48</v>
      </c>
      <c r="J9" s="59">
        <v>0.94</v>
      </c>
      <c r="K9" s="59">
        <v>0</v>
      </c>
      <c r="L9" s="59">
        <v>0</v>
      </c>
      <c r="M9" s="59">
        <v>0</v>
      </c>
      <c r="N9" s="59">
        <v>0</v>
      </c>
      <c r="O9" s="59">
        <v>0</v>
      </c>
      <c r="P9" s="59">
        <v>0</v>
      </c>
      <c r="Q9" s="59">
        <v>0.72</v>
      </c>
      <c r="R9" s="59">
        <v>0</v>
      </c>
      <c r="S9" s="59">
        <v>0.41</v>
      </c>
      <c r="T9" s="59">
        <v>0.72</v>
      </c>
      <c r="U9" s="59">
        <v>0</v>
      </c>
      <c r="V9" s="59">
        <v>0.41</v>
      </c>
    </row>
    <row r="10" spans="2:22" ht="37.25" customHeight="1">
      <c r="B10" s="48"/>
      <c r="C10" s="49">
        <v>8</v>
      </c>
      <c r="D10" s="55" t="s">
        <v>307</v>
      </c>
      <c r="E10" s="56">
        <v>0.52</v>
      </c>
      <c r="F10" s="57">
        <v>0</v>
      </c>
      <c r="G10" s="58">
        <v>0</v>
      </c>
      <c r="H10" s="57">
        <v>1.1399999999999999</v>
      </c>
      <c r="I10" s="59">
        <v>0.84</v>
      </c>
      <c r="J10" s="59">
        <v>1.04</v>
      </c>
      <c r="K10" s="59">
        <v>0.42</v>
      </c>
      <c r="L10" s="59">
        <v>0</v>
      </c>
      <c r="M10" s="59">
        <v>0</v>
      </c>
      <c r="N10" s="59">
        <v>0.42</v>
      </c>
      <c r="O10" s="59">
        <v>0</v>
      </c>
      <c r="P10" s="59">
        <v>0</v>
      </c>
      <c r="Q10" s="59">
        <v>0.57999999999999996</v>
      </c>
      <c r="R10" s="59">
        <v>0.62</v>
      </c>
      <c r="S10" s="59">
        <v>0.82</v>
      </c>
      <c r="T10" s="59">
        <v>0.57999999999999996</v>
      </c>
      <c r="U10" s="59">
        <v>0.62</v>
      </c>
      <c r="V10" s="59">
        <v>0.82</v>
      </c>
    </row>
    <row r="11" spans="2:22" ht="37.25" customHeight="1">
      <c r="B11" s="48"/>
      <c r="C11" s="49">
        <v>9</v>
      </c>
      <c r="D11" s="55" t="s">
        <v>308</v>
      </c>
      <c r="E11" s="56">
        <v>0.53</v>
      </c>
      <c r="F11" s="57">
        <v>0</v>
      </c>
      <c r="G11" s="58">
        <v>0</v>
      </c>
      <c r="H11" s="57">
        <v>1.78</v>
      </c>
      <c r="I11" s="59">
        <v>1.42</v>
      </c>
      <c r="J11" s="59">
        <v>1.19</v>
      </c>
      <c r="K11" s="59">
        <v>0.65</v>
      </c>
      <c r="L11" s="59">
        <v>0.41</v>
      </c>
      <c r="M11" s="59">
        <v>0.05</v>
      </c>
      <c r="N11" s="59">
        <v>0.65</v>
      </c>
      <c r="O11" s="59">
        <v>0.41</v>
      </c>
      <c r="P11" s="59">
        <v>0.05</v>
      </c>
      <c r="Q11" s="59">
        <v>0.77</v>
      </c>
      <c r="R11" s="59">
        <v>0</v>
      </c>
      <c r="S11" s="59">
        <v>0.39</v>
      </c>
      <c r="T11" s="59">
        <v>0.77</v>
      </c>
      <c r="U11" s="59">
        <v>0</v>
      </c>
      <c r="V11" s="59">
        <v>0.39</v>
      </c>
    </row>
    <row r="12" spans="2:22" ht="37.25" customHeight="1">
      <c r="B12" s="48"/>
      <c r="C12" s="49">
        <v>10</v>
      </c>
      <c r="D12" s="55" t="s">
        <v>309</v>
      </c>
      <c r="E12" s="56">
        <v>0.54</v>
      </c>
      <c r="F12" s="57">
        <v>0</v>
      </c>
      <c r="G12" s="58">
        <v>0</v>
      </c>
      <c r="H12" s="57">
        <v>1.49</v>
      </c>
      <c r="I12" s="59">
        <v>1.1000000000000001</v>
      </c>
      <c r="J12" s="59">
        <v>0.91</v>
      </c>
      <c r="K12" s="59">
        <v>0.72</v>
      </c>
      <c r="L12" s="59">
        <v>0.57999999999999996</v>
      </c>
      <c r="M12" s="59">
        <v>0.03</v>
      </c>
      <c r="N12" s="59">
        <v>0.72</v>
      </c>
      <c r="O12" s="59">
        <v>0.57999999999999996</v>
      </c>
      <c r="P12" s="59">
        <v>0.03</v>
      </c>
      <c r="Q12" s="59">
        <v>0.73</v>
      </c>
      <c r="R12" s="59">
        <v>7.0000000000000007E-2</v>
      </c>
      <c r="S12" s="59">
        <v>0.77</v>
      </c>
      <c r="T12" s="59">
        <v>0.73</v>
      </c>
      <c r="U12" s="59">
        <v>7.0000000000000007E-2</v>
      </c>
      <c r="V12" s="59">
        <v>0.77</v>
      </c>
    </row>
    <row r="13" spans="2:22" ht="37.25" customHeight="1">
      <c r="B13" s="48"/>
      <c r="C13" s="49">
        <v>11</v>
      </c>
      <c r="D13" s="55" t="s">
        <v>310</v>
      </c>
      <c r="E13" s="56">
        <v>0.67</v>
      </c>
      <c r="F13" s="57">
        <v>0</v>
      </c>
      <c r="G13" s="58">
        <v>0</v>
      </c>
      <c r="H13" s="57">
        <v>2.0499999999999998</v>
      </c>
      <c r="I13" s="59">
        <v>1.32</v>
      </c>
      <c r="J13" s="59">
        <v>1.39</v>
      </c>
      <c r="K13" s="59">
        <v>1.1399999999999999</v>
      </c>
      <c r="L13" s="59">
        <v>0.63</v>
      </c>
      <c r="M13" s="59">
        <v>0.04</v>
      </c>
      <c r="N13" s="59">
        <v>1.1399999999999999</v>
      </c>
      <c r="O13" s="59">
        <v>0.63</v>
      </c>
      <c r="P13" s="59">
        <v>0.04</v>
      </c>
      <c r="Q13" s="59">
        <v>0.84</v>
      </c>
      <c r="R13" s="59">
        <v>0.05</v>
      </c>
      <c r="S13" s="59">
        <v>0.78</v>
      </c>
      <c r="T13" s="59">
        <v>0.84</v>
      </c>
      <c r="U13" s="59">
        <v>0.05</v>
      </c>
      <c r="V13" s="59">
        <v>0.78</v>
      </c>
    </row>
    <row r="14" spans="2:22" ht="37.25" customHeight="1">
      <c r="B14" s="48"/>
      <c r="C14" s="49">
        <v>12</v>
      </c>
      <c r="D14" s="55" t="s">
        <v>311</v>
      </c>
      <c r="E14" s="56">
        <v>0.31</v>
      </c>
      <c r="F14" s="57">
        <v>0</v>
      </c>
      <c r="G14" s="58">
        <v>0</v>
      </c>
      <c r="H14" s="57">
        <v>0.83</v>
      </c>
      <c r="I14" s="59">
        <v>0.22</v>
      </c>
      <c r="J14" s="59">
        <v>0.99</v>
      </c>
      <c r="K14" s="59">
        <v>0</v>
      </c>
      <c r="L14" s="59">
        <v>0</v>
      </c>
      <c r="M14" s="59">
        <v>0.03</v>
      </c>
      <c r="N14" s="59">
        <v>0</v>
      </c>
      <c r="O14" s="59">
        <v>0</v>
      </c>
      <c r="P14" s="59">
        <v>0.03</v>
      </c>
      <c r="Q14" s="59">
        <v>0.88</v>
      </c>
      <c r="R14" s="59">
        <v>0.05</v>
      </c>
      <c r="S14" s="59">
        <v>0.44</v>
      </c>
      <c r="T14" s="59">
        <v>0.88</v>
      </c>
      <c r="U14" s="59">
        <v>0.05</v>
      </c>
      <c r="V14" s="59">
        <v>0.44</v>
      </c>
    </row>
    <row r="15" spans="2:22" ht="37.25" customHeight="1">
      <c r="B15" s="48"/>
      <c r="C15" s="49">
        <v>13</v>
      </c>
      <c r="D15" s="55" t="s">
        <v>312</v>
      </c>
      <c r="E15" s="56">
        <v>0.52</v>
      </c>
      <c r="F15" s="57">
        <v>0</v>
      </c>
      <c r="G15" s="58">
        <v>0</v>
      </c>
      <c r="H15" s="57">
        <v>1.62</v>
      </c>
      <c r="I15" s="59">
        <v>0.99</v>
      </c>
      <c r="J15" s="59">
        <v>1.41</v>
      </c>
      <c r="K15" s="59">
        <v>0.31</v>
      </c>
      <c r="L15" s="59">
        <v>0.28000000000000003</v>
      </c>
      <c r="M15" s="59">
        <v>0.03</v>
      </c>
      <c r="N15" s="59">
        <v>0.31</v>
      </c>
      <c r="O15" s="59">
        <v>0.28000000000000003</v>
      </c>
      <c r="P15" s="59">
        <v>0.03</v>
      </c>
      <c r="Q15" s="59">
        <v>0.82</v>
      </c>
      <c r="R15" s="59">
        <v>0.04</v>
      </c>
      <c r="S15" s="59">
        <v>0.41</v>
      </c>
      <c r="T15" s="59">
        <v>0.82</v>
      </c>
      <c r="U15" s="59">
        <v>0.04</v>
      </c>
      <c r="V15" s="59">
        <v>0.41</v>
      </c>
    </row>
    <row r="16" spans="2:22" ht="37.25" customHeight="1">
      <c r="B16" s="48"/>
      <c r="C16" s="49">
        <v>14</v>
      </c>
      <c r="D16" s="55" t="s">
        <v>313</v>
      </c>
      <c r="E16" s="56">
        <v>0.62</v>
      </c>
      <c r="F16" s="57">
        <v>0</v>
      </c>
      <c r="G16" s="58">
        <v>0</v>
      </c>
      <c r="H16" s="57">
        <v>1.58</v>
      </c>
      <c r="I16" s="59">
        <v>0.99</v>
      </c>
      <c r="J16" s="59">
        <v>1.31</v>
      </c>
      <c r="K16" s="59">
        <v>0.91</v>
      </c>
      <c r="L16" s="59">
        <v>0.64</v>
      </c>
      <c r="M16" s="59">
        <v>0.04</v>
      </c>
      <c r="N16" s="59">
        <v>0.91</v>
      </c>
      <c r="O16" s="59">
        <v>0.64</v>
      </c>
      <c r="P16" s="59">
        <v>0.04</v>
      </c>
      <c r="Q16" s="59">
        <v>0.87</v>
      </c>
      <c r="R16" s="59">
        <v>0.05</v>
      </c>
      <c r="S16" s="59">
        <v>0.81</v>
      </c>
      <c r="T16" s="59">
        <v>0.87</v>
      </c>
      <c r="U16" s="59">
        <v>0.05</v>
      </c>
      <c r="V16" s="59">
        <v>0.81</v>
      </c>
    </row>
    <row r="17" spans="2:22" ht="37.25" customHeight="1">
      <c r="B17" s="48"/>
      <c r="C17" s="49">
        <v>15</v>
      </c>
      <c r="D17" s="55" t="s">
        <v>314</v>
      </c>
      <c r="E17" s="56">
        <v>0.65</v>
      </c>
      <c r="F17" s="57">
        <v>0.13</v>
      </c>
      <c r="G17" s="58">
        <v>0.13</v>
      </c>
      <c r="H17" s="57">
        <v>1.59</v>
      </c>
      <c r="I17" s="59">
        <v>1.04</v>
      </c>
      <c r="J17" s="59">
        <v>1.36</v>
      </c>
      <c r="K17" s="59">
        <v>0.91</v>
      </c>
      <c r="L17" s="59">
        <v>0.67</v>
      </c>
      <c r="M17" s="59">
        <v>7.0000000000000007E-2</v>
      </c>
      <c r="N17" s="59">
        <v>0.91</v>
      </c>
      <c r="O17" s="59">
        <v>0.67</v>
      </c>
      <c r="P17" s="59">
        <v>7.0000000000000007E-2</v>
      </c>
      <c r="Q17" s="59">
        <v>1.26</v>
      </c>
      <c r="R17" s="59">
        <v>0.12</v>
      </c>
      <c r="S17" s="59">
        <v>0.43</v>
      </c>
      <c r="T17" s="59">
        <v>1.26</v>
      </c>
      <c r="U17" s="59">
        <v>0.12</v>
      </c>
      <c r="V17" s="59">
        <v>0.43</v>
      </c>
    </row>
    <row r="18" spans="2:22" ht="37.25" customHeight="1">
      <c r="B18" s="48"/>
      <c r="C18" s="49">
        <v>16</v>
      </c>
      <c r="D18" s="55" t="s">
        <v>315</v>
      </c>
      <c r="E18" s="56">
        <v>0.69</v>
      </c>
      <c r="F18" s="57">
        <v>0.1</v>
      </c>
      <c r="G18" s="58">
        <v>0.1</v>
      </c>
      <c r="H18" s="57">
        <v>1.33</v>
      </c>
      <c r="I18" s="59">
        <v>0.93</v>
      </c>
      <c r="J18" s="59">
        <v>1.39</v>
      </c>
      <c r="K18" s="59">
        <v>0.79</v>
      </c>
      <c r="L18" s="59">
        <v>0.66</v>
      </c>
      <c r="M18" s="59">
        <v>0.13</v>
      </c>
      <c r="N18" s="59">
        <v>0.79</v>
      </c>
      <c r="O18" s="59">
        <v>0.66</v>
      </c>
      <c r="P18" s="59">
        <v>0.13</v>
      </c>
      <c r="Q18" s="59">
        <v>0.6</v>
      </c>
      <c r="R18" s="59">
        <v>0.56999999999999995</v>
      </c>
      <c r="S18" s="59">
        <v>0.76</v>
      </c>
      <c r="T18" s="59">
        <v>0.6</v>
      </c>
      <c r="U18" s="59">
        <v>0.56999999999999995</v>
      </c>
      <c r="V18" s="59">
        <v>0.76</v>
      </c>
    </row>
    <row r="19" spans="2:22" ht="37.25" customHeight="1">
      <c r="B19" s="48"/>
      <c r="C19" s="49">
        <v>17</v>
      </c>
      <c r="D19" s="55" t="s">
        <v>316</v>
      </c>
      <c r="E19" s="56">
        <v>0.8</v>
      </c>
      <c r="F19" s="57">
        <v>0</v>
      </c>
      <c r="G19" s="58">
        <v>0</v>
      </c>
      <c r="H19" s="57">
        <v>2.4700000000000002</v>
      </c>
      <c r="I19" s="59">
        <v>1.48</v>
      </c>
      <c r="J19" s="59">
        <v>1.58</v>
      </c>
      <c r="K19" s="59">
        <v>0.98</v>
      </c>
      <c r="L19" s="59">
        <v>0.57999999999999996</v>
      </c>
      <c r="M19" s="59">
        <v>0.04</v>
      </c>
      <c r="N19" s="59">
        <v>0.98</v>
      </c>
      <c r="O19" s="59">
        <v>0.57999999999999996</v>
      </c>
      <c r="P19" s="59">
        <v>0.04</v>
      </c>
      <c r="Q19" s="59">
        <v>0.69</v>
      </c>
      <c r="R19" s="59">
        <v>0.65</v>
      </c>
      <c r="S19" s="59">
        <v>0.89</v>
      </c>
      <c r="T19" s="59">
        <v>0.69</v>
      </c>
      <c r="U19" s="59">
        <v>0.65</v>
      </c>
      <c r="V19" s="59">
        <v>0.89</v>
      </c>
    </row>
    <row r="20" spans="2:22" ht="37.25" customHeight="1">
      <c r="B20" s="48"/>
      <c r="C20" s="49">
        <v>18</v>
      </c>
      <c r="D20" s="55" t="s">
        <v>317</v>
      </c>
      <c r="E20" s="56">
        <v>0.83</v>
      </c>
      <c r="F20" s="57">
        <v>0.25</v>
      </c>
      <c r="G20" s="58">
        <v>0.25</v>
      </c>
      <c r="H20" s="57">
        <v>3.88</v>
      </c>
      <c r="I20" s="59">
        <v>2.2799999999999998</v>
      </c>
      <c r="J20" s="59">
        <v>2.0699999999999998</v>
      </c>
      <c r="K20" s="59">
        <v>1.89</v>
      </c>
      <c r="L20" s="59">
        <v>1.41</v>
      </c>
      <c r="M20" s="59">
        <v>0.16</v>
      </c>
      <c r="N20" s="59">
        <v>1.89</v>
      </c>
      <c r="O20" s="59">
        <v>1.41</v>
      </c>
      <c r="P20" s="59">
        <v>0.16</v>
      </c>
      <c r="Q20" s="59">
        <v>0.83</v>
      </c>
      <c r="R20" s="59">
        <v>0.66</v>
      </c>
      <c r="S20" s="59">
        <v>0.86</v>
      </c>
      <c r="T20" s="59">
        <v>0.83</v>
      </c>
      <c r="U20" s="59">
        <v>0.66</v>
      </c>
      <c r="V20" s="59">
        <v>0.86</v>
      </c>
    </row>
    <row r="21" spans="2:22" ht="37.25" customHeight="1">
      <c r="B21" s="48"/>
      <c r="C21" s="49">
        <v>19</v>
      </c>
      <c r="D21" s="55" t="s">
        <v>318</v>
      </c>
      <c r="E21" s="56">
        <v>0.56999999999999995</v>
      </c>
      <c r="F21" s="57">
        <v>0</v>
      </c>
      <c r="G21" s="58">
        <v>0</v>
      </c>
      <c r="H21" s="57">
        <v>1.29</v>
      </c>
      <c r="I21" s="59">
        <v>0.93</v>
      </c>
      <c r="J21" s="59">
        <v>1.3</v>
      </c>
      <c r="K21" s="59">
        <v>0.68</v>
      </c>
      <c r="L21" s="59">
        <v>0</v>
      </c>
      <c r="M21" s="59">
        <v>0</v>
      </c>
      <c r="N21" s="59">
        <v>0.68</v>
      </c>
      <c r="O21" s="59">
        <v>0</v>
      </c>
      <c r="P21" s="59">
        <v>0</v>
      </c>
      <c r="Q21" s="59">
        <v>0.65</v>
      </c>
      <c r="R21" s="59">
        <v>0.47</v>
      </c>
      <c r="S21" s="59">
        <v>0.73</v>
      </c>
      <c r="T21" s="59">
        <v>0.65</v>
      </c>
      <c r="U21" s="59">
        <v>0.47</v>
      </c>
      <c r="V21" s="59">
        <v>0.73</v>
      </c>
    </row>
    <row r="22" spans="2:22" ht="37.25" customHeight="1">
      <c r="B22" s="48"/>
      <c r="C22" s="49">
        <v>20</v>
      </c>
      <c r="D22" s="55" t="s">
        <v>319</v>
      </c>
      <c r="E22" s="56">
        <v>0.74</v>
      </c>
      <c r="F22" s="57">
        <v>0</v>
      </c>
      <c r="G22" s="58">
        <v>0</v>
      </c>
      <c r="H22" s="57">
        <v>1.58</v>
      </c>
      <c r="I22" s="59">
        <v>0.98</v>
      </c>
      <c r="J22" s="59">
        <v>1.35</v>
      </c>
      <c r="K22" s="59">
        <v>0.86</v>
      </c>
      <c r="L22" s="59">
        <v>0.71</v>
      </c>
      <c r="M22" s="59">
        <v>7.0000000000000007E-2</v>
      </c>
      <c r="N22" s="59">
        <v>0.86</v>
      </c>
      <c r="O22" s="59">
        <v>0.71</v>
      </c>
      <c r="P22" s="59">
        <v>7.0000000000000007E-2</v>
      </c>
      <c r="Q22" s="59">
        <v>0.74</v>
      </c>
      <c r="R22" s="59">
        <v>0.48</v>
      </c>
      <c r="S22" s="59">
        <v>0.74</v>
      </c>
      <c r="T22" s="59">
        <v>0.74</v>
      </c>
      <c r="U22" s="59">
        <v>0.48</v>
      </c>
      <c r="V22" s="59">
        <v>0.74</v>
      </c>
    </row>
    <row r="23" spans="2:22" ht="37.25" customHeight="1">
      <c r="B23" s="48"/>
      <c r="C23" s="49">
        <v>21</v>
      </c>
      <c r="D23" s="55" t="s">
        <v>320</v>
      </c>
      <c r="E23" s="56">
        <v>0.83</v>
      </c>
      <c r="F23" s="57">
        <v>0.16</v>
      </c>
      <c r="G23" s="58">
        <v>0.16</v>
      </c>
      <c r="H23" s="57">
        <v>1.39</v>
      </c>
      <c r="I23" s="59">
        <v>1.02</v>
      </c>
      <c r="J23" s="59">
        <v>1.34</v>
      </c>
      <c r="K23" s="59">
        <v>0.83</v>
      </c>
      <c r="L23" s="59">
        <v>0.69</v>
      </c>
      <c r="M23" s="59">
        <v>0.22</v>
      </c>
      <c r="N23" s="59">
        <v>0.83</v>
      </c>
      <c r="O23" s="59">
        <v>0.69</v>
      </c>
      <c r="P23" s="59">
        <v>0.22</v>
      </c>
      <c r="Q23" s="59">
        <v>1.02</v>
      </c>
      <c r="R23" s="59">
        <v>0.68</v>
      </c>
      <c r="S23" s="59">
        <v>0.8</v>
      </c>
      <c r="T23" s="59">
        <v>1.02</v>
      </c>
      <c r="U23" s="59">
        <v>0.68</v>
      </c>
      <c r="V23" s="59">
        <v>0.8</v>
      </c>
    </row>
    <row r="24" spans="2:22" ht="37.25" customHeight="1">
      <c r="B24" s="48"/>
      <c r="C24" s="49">
        <v>22</v>
      </c>
      <c r="D24" s="55" t="s">
        <v>321</v>
      </c>
      <c r="E24" s="56">
        <v>0.82</v>
      </c>
      <c r="F24" s="57">
        <v>0</v>
      </c>
      <c r="G24" s="58">
        <v>0</v>
      </c>
      <c r="H24" s="57">
        <v>3.35</v>
      </c>
      <c r="I24" s="59">
        <v>1.73</v>
      </c>
      <c r="J24" s="59">
        <v>1.63</v>
      </c>
      <c r="K24" s="59">
        <v>1.99</v>
      </c>
      <c r="L24" s="59">
        <v>1.49</v>
      </c>
      <c r="M24" s="59">
        <v>0.11</v>
      </c>
      <c r="N24" s="59">
        <v>1.99</v>
      </c>
      <c r="O24" s="59">
        <v>1.49</v>
      </c>
      <c r="P24" s="59">
        <v>0.11</v>
      </c>
      <c r="Q24" s="59">
        <v>0.6</v>
      </c>
      <c r="R24" s="59">
        <v>0.43</v>
      </c>
      <c r="S24" s="59">
        <v>0.68</v>
      </c>
      <c r="T24" s="59">
        <v>0.6</v>
      </c>
      <c r="U24" s="59">
        <v>0.43</v>
      </c>
      <c r="V24" s="59">
        <v>0.68</v>
      </c>
    </row>
    <row r="25" spans="2:22" ht="37.25" customHeight="1">
      <c r="B25" s="48"/>
      <c r="C25" s="49">
        <v>23</v>
      </c>
      <c r="D25" s="55" t="s">
        <v>322</v>
      </c>
      <c r="E25" s="56">
        <v>0.81</v>
      </c>
      <c r="F25" s="57">
        <v>0</v>
      </c>
      <c r="G25" s="58">
        <v>0</v>
      </c>
      <c r="H25" s="57">
        <v>3.6</v>
      </c>
      <c r="I25" s="59">
        <v>1.83</v>
      </c>
      <c r="J25" s="59">
        <v>1.71</v>
      </c>
      <c r="K25" s="59">
        <v>2.16</v>
      </c>
      <c r="L25" s="59">
        <v>1.49</v>
      </c>
      <c r="M25" s="59">
        <v>0.13</v>
      </c>
      <c r="N25" s="59">
        <v>2.16</v>
      </c>
      <c r="O25" s="59">
        <v>1.49</v>
      </c>
      <c r="P25" s="59">
        <v>0.13</v>
      </c>
      <c r="Q25" s="59">
        <v>0.64</v>
      </c>
      <c r="R25" s="59">
        <v>0.43</v>
      </c>
      <c r="S25" s="59">
        <v>0.69</v>
      </c>
      <c r="T25" s="59">
        <v>0.64</v>
      </c>
      <c r="U25" s="59">
        <v>0.43</v>
      </c>
      <c r="V25" s="59">
        <v>0.69</v>
      </c>
    </row>
    <row r="26" spans="2:22" ht="37.25" customHeight="1">
      <c r="B26" s="48"/>
      <c r="C26" s="49">
        <v>24</v>
      </c>
      <c r="D26" s="55" t="s">
        <v>322</v>
      </c>
      <c r="E26" s="56">
        <v>0.81</v>
      </c>
      <c r="F26" s="57">
        <v>0</v>
      </c>
      <c r="G26" s="58">
        <v>0</v>
      </c>
      <c r="H26" s="57">
        <v>3.6</v>
      </c>
      <c r="I26" s="59">
        <v>1.83</v>
      </c>
      <c r="J26" s="59">
        <v>1.71</v>
      </c>
      <c r="K26" s="59">
        <v>2.16</v>
      </c>
      <c r="L26" s="59">
        <v>1.49</v>
      </c>
      <c r="M26" s="59">
        <v>0.13</v>
      </c>
      <c r="N26" s="59">
        <v>2.16</v>
      </c>
      <c r="O26" s="59">
        <v>1.49</v>
      </c>
      <c r="P26" s="59">
        <v>0.13</v>
      </c>
      <c r="Q26" s="59">
        <v>0.64</v>
      </c>
      <c r="R26" s="59">
        <v>0.43</v>
      </c>
      <c r="S26" s="59">
        <v>0.69</v>
      </c>
      <c r="T26" s="59">
        <v>0.64</v>
      </c>
      <c r="U26" s="59">
        <v>0.43</v>
      </c>
      <c r="V26" s="59">
        <v>0.69</v>
      </c>
    </row>
    <row r="27" spans="2:22" ht="37.25" customHeight="1">
      <c r="B27" s="48"/>
      <c r="C27" s="49">
        <v>25</v>
      </c>
      <c r="D27" s="55" t="s">
        <v>323</v>
      </c>
      <c r="E27" s="56">
        <v>0.71</v>
      </c>
      <c r="F27" s="57">
        <v>0.12</v>
      </c>
      <c r="G27" s="58">
        <v>0.12</v>
      </c>
      <c r="H27" s="57">
        <v>2.15</v>
      </c>
      <c r="I27" s="59">
        <v>1.4</v>
      </c>
      <c r="J27" s="59">
        <v>1.71</v>
      </c>
      <c r="K27" s="59">
        <v>1.22</v>
      </c>
      <c r="L27" s="59">
        <v>0.02</v>
      </c>
      <c r="M27" s="59">
        <v>0.05</v>
      </c>
      <c r="N27" s="59">
        <v>1.22</v>
      </c>
      <c r="O27" s="59">
        <v>0.02</v>
      </c>
      <c r="P27" s="59">
        <v>0.05</v>
      </c>
      <c r="Q27" s="59">
        <v>0.79</v>
      </c>
      <c r="R27" s="59">
        <v>0.48</v>
      </c>
      <c r="S27" s="59">
        <v>0.67</v>
      </c>
      <c r="T27" s="59">
        <v>0.79</v>
      </c>
      <c r="U27" s="59">
        <v>0.48</v>
      </c>
      <c r="V27" s="59">
        <v>0.67</v>
      </c>
    </row>
    <row r="28" spans="2:22" ht="37.25" customHeight="1">
      <c r="B28" s="48"/>
      <c r="C28" s="49">
        <v>26</v>
      </c>
      <c r="D28" s="55" t="s">
        <v>324</v>
      </c>
      <c r="E28" s="56">
        <v>0.8</v>
      </c>
      <c r="F28" s="57">
        <v>0.05</v>
      </c>
      <c r="G28" s="58">
        <v>0.05</v>
      </c>
      <c r="H28" s="57">
        <v>1.92</v>
      </c>
      <c r="I28" s="59">
        <v>1.31</v>
      </c>
      <c r="J28" s="59">
        <v>1.41</v>
      </c>
      <c r="K28" s="59">
        <v>1.1399999999999999</v>
      </c>
      <c r="L28" s="59">
        <v>0.86</v>
      </c>
      <c r="M28" s="59">
        <v>0.18</v>
      </c>
      <c r="N28" s="59">
        <v>1.1399999999999999</v>
      </c>
      <c r="O28" s="59">
        <v>0.86</v>
      </c>
      <c r="P28" s="59">
        <v>0.18</v>
      </c>
      <c r="Q28" s="59">
        <v>0.59</v>
      </c>
      <c r="R28" s="59">
        <v>0.49</v>
      </c>
      <c r="S28" s="59">
        <v>0.75</v>
      </c>
      <c r="T28" s="59">
        <v>0.59</v>
      </c>
      <c r="U28" s="59">
        <v>0.49</v>
      </c>
      <c r="V28" s="59">
        <v>0.75</v>
      </c>
    </row>
    <row r="29" spans="2:22" ht="37.25" customHeight="1">
      <c r="B29" s="48"/>
      <c r="C29" s="49">
        <v>27</v>
      </c>
      <c r="D29" s="55" t="s">
        <v>325</v>
      </c>
      <c r="E29" s="56">
        <v>0.87</v>
      </c>
      <c r="F29" s="57">
        <v>7.0000000000000007E-2</v>
      </c>
      <c r="G29" s="58">
        <v>7.0000000000000007E-2</v>
      </c>
      <c r="H29" s="57">
        <v>1.87</v>
      </c>
      <c r="I29" s="59">
        <v>1.17</v>
      </c>
      <c r="J29" s="59">
        <v>1.26</v>
      </c>
      <c r="K29" s="59">
        <v>1.2</v>
      </c>
      <c r="L29" s="59">
        <v>1.07</v>
      </c>
      <c r="M29" s="59">
        <v>0.09</v>
      </c>
      <c r="N29" s="59">
        <v>1.2</v>
      </c>
      <c r="O29" s="59">
        <v>1.07</v>
      </c>
      <c r="P29" s="59">
        <v>0.09</v>
      </c>
      <c r="Q29" s="59">
        <v>0.62</v>
      </c>
      <c r="R29" s="59">
        <v>0.77</v>
      </c>
      <c r="S29" s="59">
        <v>1.58</v>
      </c>
      <c r="T29" s="59">
        <v>0.62</v>
      </c>
      <c r="U29" s="59">
        <v>0.77</v>
      </c>
      <c r="V29" s="59">
        <v>1.58</v>
      </c>
    </row>
    <row r="30" spans="2:22" ht="37.25" customHeight="1">
      <c r="B30" s="48"/>
      <c r="C30" s="49">
        <v>28</v>
      </c>
      <c r="D30" s="55" t="s">
        <v>325</v>
      </c>
      <c r="E30" s="56">
        <v>0.87</v>
      </c>
      <c r="F30" s="57">
        <v>7.0000000000000007E-2</v>
      </c>
      <c r="G30" s="58">
        <v>7.0000000000000007E-2</v>
      </c>
      <c r="H30" s="57">
        <v>1.87</v>
      </c>
      <c r="I30" s="59">
        <v>1.17</v>
      </c>
      <c r="J30" s="59">
        <v>1.26</v>
      </c>
      <c r="K30" s="59">
        <v>1.2</v>
      </c>
      <c r="L30" s="59">
        <v>1.07</v>
      </c>
      <c r="M30" s="59">
        <v>0.09</v>
      </c>
      <c r="N30" s="59">
        <v>1.2</v>
      </c>
      <c r="O30" s="59">
        <v>1.07</v>
      </c>
      <c r="P30" s="59">
        <v>0.09</v>
      </c>
      <c r="Q30" s="59">
        <v>0.62</v>
      </c>
      <c r="R30" s="59">
        <v>0.77</v>
      </c>
      <c r="S30" s="59">
        <v>1.58</v>
      </c>
      <c r="T30" s="59">
        <v>0.62</v>
      </c>
      <c r="U30" s="59">
        <v>0.77</v>
      </c>
      <c r="V30" s="59">
        <v>1.58</v>
      </c>
    </row>
    <row r="31" spans="2:22" ht="37.25" customHeight="1">
      <c r="B31" s="48"/>
      <c r="C31" s="49">
        <v>29</v>
      </c>
      <c r="D31" s="55" t="s">
        <v>326</v>
      </c>
      <c r="E31" s="56">
        <v>0.92</v>
      </c>
      <c r="F31" s="57">
        <v>0.09</v>
      </c>
      <c r="G31" s="58">
        <v>0.09</v>
      </c>
      <c r="H31" s="57">
        <v>2.39</v>
      </c>
      <c r="I31" s="59">
        <v>1.64</v>
      </c>
      <c r="J31" s="59">
        <v>1.71</v>
      </c>
      <c r="K31" s="59">
        <v>1.36</v>
      </c>
      <c r="L31" s="59">
        <v>1.29</v>
      </c>
      <c r="M31" s="59">
        <v>0.21</v>
      </c>
      <c r="N31" s="59">
        <v>1.36</v>
      </c>
      <c r="O31" s="59">
        <v>1.29</v>
      </c>
      <c r="P31" s="59">
        <v>0.21</v>
      </c>
      <c r="Q31" s="59">
        <v>0.7</v>
      </c>
      <c r="R31" s="59">
        <v>0.52</v>
      </c>
      <c r="S31" s="59">
        <v>0.77</v>
      </c>
      <c r="T31" s="59">
        <v>0.7</v>
      </c>
      <c r="U31" s="59">
        <v>0.52</v>
      </c>
      <c r="V31" s="59">
        <v>0.77</v>
      </c>
    </row>
    <row r="32" spans="2:22" ht="37.25" customHeight="1">
      <c r="B32" s="48"/>
      <c r="C32" s="49">
        <v>30</v>
      </c>
      <c r="D32" s="55" t="s">
        <v>327</v>
      </c>
      <c r="E32" s="56">
        <v>0.87</v>
      </c>
      <c r="F32" s="57">
        <v>0.1</v>
      </c>
      <c r="G32" s="58">
        <v>0.1</v>
      </c>
      <c r="H32" s="57">
        <v>2.4</v>
      </c>
      <c r="I32" s="59">
        <v>1.72</v>
      </c>
      <c r="J32" s="59">
        <v>1.67</v>
      </c>
      <c r="K32" s="59">
        <v>1.33</v>
      </c>
      <c r="L32" s="59">
        <v>1.23</v>
      </c>
      <c r="M32" s="59">
        <v>0.08</v>
      </c>
      <c r="N32" s="59">
        <v>1.33</v>
      </c>
      <c r="O32" s="59">
        <v>1.23</v>
      </c>
      <c r="P32" s="59">
        <v>0.08</v>
      </c>
      <c r="Q32" s="59">
        <v>0.61</v>
      </c>
      <c r="R32" s="59">
        <v>0.47</v>
      </c>
      <c r="S32" s="59">
        <v>0.77</v>
      </c>
      <c r="T32" s="59">
        <v>0.61</v>
      </c>
      <c r="U32" s="59">
        <v>0.47</v>
      </c>
      <c r="V32" s="59">
        <v>0.77</v>
      </c>
    </row>
    <row r="33" spans="2:22" ht="37.25" customHeight="1">
      <c r="B33" s="48"/>
      <c r="C33" s="49">
        <v>31</v>
      </c>
      <c r="D33" s="55" t="s">
        <v>328</v>
      </c>
      <c r="E33" s="56">
        <v>1.1499999999999999</v>
      </c>
      <c r="F33" s="57">
        <v>0.12</v>
      </c>
      <c r="G33" s="58">
        <v>0.12</v>
      </c>
      <c r="H33" s="57">
        <v>4.37</v>
      </c>
      <c r="I33" s="59">
        <v>2.56</v>
      </c>
      <c r="J33" s="59">
        <v>2.14</v>
      </c>
      <c r="K33" s="59">
        <v>2.72</v>
      </c>
      <c r="L33" s="59">
        <v>2.23</v>
      </c>
      <c r="M33" s="59">
        <v>0.19</v>
      </c>
      <c r="N33" s="59">
        <v>2.72</v>
      </c>
      <c r="O33" s="59">
        <v>2.23</v>
      </c>
      <c r="P33" s="59">
        <v>0.19</v>
      </c>
      <c r="Q33" s="59">
        <v>0.82</v>
      </c>
      <c r="R33" s="59">
        <v>0.56999999999999995</v>
      </c>
      <c r="S33" s="59">
        <v>0.7</v>
      </c>
      <c r="T33" s="59">
        <v>0.82</v>
      </c>
      <c r="U33" s="59">
        <v>0.56999999999999995</v>
      </c>
      <c r="V33" s="59">
        <v>0.7</v>
      </c>
    </row>
    <row r="34" spans="2:22" ht="37.25" customHeight="1">
      <c r="B34" s="48"/>
      <c r="C34" s="49">
        <v>32</v>
      </c>
      <c r="D34" s="55" t="s">
        <v>329</v>
      </c>
      <c r="E34" s="56">
        <v>1.07</v>
      </c>
      <c r="F34" s="57">
        <v>0.28000000000000003</v>
      </c>
      <c r="G34" s="58">
        <v>0.28000000000000003</v>
      </c>
      <c r="H34" s="57">
        <v>3.99</v>
      </c>
      <c r="I34" s="59">
        <v>2.12</v>
      </c>
      <c r="J34" s="59">
        <v>2</v>
      </c>
      <c r="K34" s="59">
        <v>1.7</v>
      </c>
      <c r="L34" s="59">
        <v>1.36</v>
      </c>
      <c r="M34" s="59">
        <v>0.1</v>
      </c>
      <c r="N34" s="59">
        <v>1.7</v>
      </c>
      <c r="O34" s="59">
        <v>1.36</v>
      </c>
      <c r="P34" s="59">
        <v>0.1</v>
      </c>
      <c r="Q34" s="59">
        <v>0.92</v>
      </c>
      <c r="R34" s="59">
        <v>0.48</v>
      </c>
      <c r="S34" s="59">
        <v>1.07</v>
      </c>
      <c r="T34" s="59">
        <v>0.92</v>
      </c>
      <c r="U34" s="59">
        <v>0.48</v>
      </c>
      <c r="V34" s="59">
        <v>1.07</v>
      </c>
    </row>
    <row r="35" spans="2:22" ht="37.25" customHeight="1">
      <c r="B35" s="48"/>
      <c r="C35" s="49">
        <v>33</v>
      </c>
      <c r="D35" s="55" t="s">
        <v>330</v>
      </c>
      <c r="E35" s="56">
        <v>0.9</v>
      </c>
      <c r="F35" s="57">
        <v>0.09</v>
      </c>
      <c r="G35" s="58">
        <v>0.09</v>
      </c>
      <c r="H35" s="57">
        <v>2.66</v>
      </c>
      <c r="I35" s="59">
        <v>1.42</v>
      </c>
      <c r="J35" s="59">
        <v>1.57</v>
      </c>
      <c r="K35" s="59">
        <v>1.32</v>
      </c>
      <c r="L35" s="59">
        <v>0.99</v>
      </c>
      <c r="M35" s="59">
        <v>0.14000000000000001</v>
      </c>
      <c r="N35" s="59">
        <v>1.32</v>
      </c>
      <c r="O35" s="59">
        <v>0.99</v>
      </c>
      <c r="P35" s="59">
        <v>0.14000000000000001</v>
      </c>
      <c r="Q35" s="59">
        <v>0.73</v>
      </c>
      <c r="R35" s="59">
        <v>0.66</v>
      </c>
      <c r="S35" s="59">
        <v>0.85</v>
      </c>
      <c r="T35" s="59">
        <v>0.73</v>
      </c>
      <c r="U35" s="59">
        <v>0.66</v>
      </c>
      <c r="V35" s="59">
        <v>0.85</v>
      </c>
    </row>
    <row r="36" spans="2:22" ht="37.25" customHeight="1">
      <c r="B36" s="48"/>
      <c r="C36" s="49">
        <v>34</v>
      </c>
      <c r="D36" s="55" t="s">
        <v>331</v>
      </c>
      <c r="E36" s="56">
        <v>1.24</v>
      </c>
      <c r="F36" s="57">
        <v>0.06</v>
      </c>
      <c r="G36" s="58">
        <v>0.06</v>
      </c>
      <c r="H36" s="57">
        <v>3.22</v>
      </c>
      <c r="I36" s="59">
        <v>1.99</v>
      </c>
      <c r="J36" s="59">
        <v>2.0299999999999998</v>
      </c>
      <c r="K36" s="59">
        <v>1.62</v>
      </c>
      <c r="L36" s="59">
        <v>1.5</v>
      </c>
      <c r="M36" s="59">
        <v>0.37</v>
      </c>
      <c r="N36" s="59">
        <v>1.62</v>
      </c>
      <c r="O36" s="59">
        <v>1.5</v>
      </c>
      <c r="P36" s="59">
        <v>0.37</v>
      </c>
      <c r="Q36" s="59">
        <v>1.51</v>
      </c>
      <c r="R36" s="59">
        <v>0.65</v>
      </c>
      <c r="S36" s="59">
        <v>0.8</v>
      </c>
      <c r="T36" s="59">
        <v>1.51</v>
      </c>
      <c r="U36" s="59">
        <v>0.65</v>
      </c>
      <c r="V36" s="59">
        <v>0.8</v>
      </c>
    </row>
    <row r="37" spans="2:22" ht="37.25" customHeight="1">
      <c r="B37" s="48"/>
      <c r="C37" s="49">
        <v>35</v>
      </c>
      <c r="D37" s="55" t="s">
        <v>332</v>
      </c>
      <c r="E37" s="56">
        <v>1.08</v>
      </c>
      <c r="F37" s="57">
        <v>0.31</v>
      </c>
      <c r="G37" s="58">
        <v>0.31</v>
      </c>
      <c r="H37" s="57">
        <v>3.76</v>
      </c>
      <c r="I37" s="59">
        <v>2</v>
      </c>
      <c r="J37" s="59">
        <v>1.92</v>
      </c>
      <c r="K37" s="59">
        <v>2</v>
      </c>
      <c r="L37" s="59">
        <v>1.37</v>
      </c>
      <c r="M37" s="59">
        <v>0.25</v>
      </c>
      <c r="N37" s="59">
        <v>2</v>
      </c>
      <c r="O37" s="59">
        <v>1.37</v>
      </c>
      <c r="P37" s="59">
        <v>0.25</v>
      </c>
      <c r="Q37" s="59">
        <v>0.83</v>
      </c>
      <c r="R37" s="59">
        <v>0.61</v>
      </c>
      <c r="S37" s="59">
        <v>1.08</v>
      </c>
      <c r="T37" s="59">
        <v>0.83</v>
      </c>
      <c r="U37" s="59">
        <v>0.61</v>
      </c>
      <c r="V37" s="59">
        <v>1.08</v>
      </c>
    </row>
    <row r="38" spans="2:22" ht="37.25" customHeight="1">
      <c r="B38" s="48"/>
      <c r="C38" s="49">
        <v>36</v>
      </c>
      <c r="D38" s="55" t="s">
        <v>333</v>
      </c>
      <c r="E38" s="56">
        <v>0.86</v>
      </c>
      <c r="F38" s="57">
        <v>0</v>
      </c>
      <c r="G38" s="58">
        <v>0</v>
      </c>
      <c r="H38" s="57">
        <v>3.24</v>
      </c>
      <c r="I38" s="59">
        <v>1.81</v>
      </c>
      <c r="J38" s="59">
        <v>2.06</v>
      </c>
      <c r="K38" s="59">
        <v>1.98</v>
      </c>
      <c r="L38" s="59">
        <v>1.1299999999999999</v>
      </c>
      <c r="M38" s="59">
        <v>7.0000000000000007E-2</v>
      </c>
      <c r="N38" s="59">
        <v>1.98</v>
      </c>
      <c r="O38" s="59">
        <v>1.1299999999999999</v>
      </c>
      <c r="P38" s="59">
        <v>7.0000000000000007E-2</v>
      </c>
      <c r="Q38" s="59">
        <v>1.19</v>
      </c>
      <c r="R38" s="59">
        <v>0.04</v>
      </c>
      <c r="S38" s="59">
        <v>0.44</v>
      </c>
      <c r="T38" s="59">
        <v>1.19</v>
      </c>
      <c r="U38" s="59">
        <v>0.04</v>
      </c>
      <c r="V38" s="59">
        <v>0.44</v>
      </c>
    </row>
    <row r="39" spans="2:22" ht="37.25" customHeight="1">
      <c r="B39" s="48"/>
      <c r="C39" s="49">
        <v>37</v>
      </c>
      <c r="D39" s="55" t="s">
        <v>334</v>
      </c>
      <c r="E39" s="56">
        <v>0.59</v>
      </c>
      <c r="F39" s="57">
        <v>0</v>
      </c>
      <c r="G39" s="58">
        <v>0</v>
      </c>
      <c r="H39" s="57">
        <v>1.21</v>
      </c>
      <c r="I39" s="59">
        <v>0.74</v>
      </c>
      <c r="J39" s="59">
        <v>1.56</v>
      </c>
      <c r="K39" s="59">
        <v>0.44</v>
      </c>
      <c r="L39" s="59">
        <v>0.24</v>
      </c>
      <c r="M39" s="59">
        <v>0.17</v>
      </c>
      <c r="N39" s="59">
        <v>0.44</v>
      </c>
      <c r="O39" s="59">
        <v>0.24</v>
      </c>
      <c r="P39" s="59">
        <v>0.17</v>
      </c>
      <c r="Q39" s="59">
        <v>1.52</v>
      </c>
      <c r="R39" s="59">
        <v>0.09</v>
      </c>
      <c r="S39" s="59">
        <v>0.74</v>
      </c>
      <c r="T39" s="59">
        <v>1.52</v>
      </c>
      <c r="U39" s="59">
        <v>0.09</v>
      </c>
      <c r="V39" s="59">
        <v>0.74</v>
      </c>
    </row>
    <row r="40" spans="2:22" ht="37.25" customHeight="1">
      <c r="B40" s="48"/>
      <c r="C40" s="49">
        <v>38</v>
      </c>
      <c r="D40" s="55" t="s">
        <v>335</v>
      </c>
      <c r="E40" s="56">
        <v>0.7</v>
      </c>
      <c r="F40" s="57">
        <v>0</v>
      </c>
      <c r="G40" s="58">
        <v>0</v>
      </c>
      <c r="H40" s="57">
        <v>1.1100000000000001</v>
      </c>
      <c r="I40" s="59">
        <v>0.94</v>
      </c>
      <c r="J40" s="59">
        <v>1.52</v>
      </c>
      <c r="K40" s="59">
        <v>0.73</v>
      </c>
      <c r="L40" s="59">
        <v>0.62</v>
      </c>
      <c r="M40" s="59">
        <v>0.14000000000000001</v>
      </c>
      <c r="N40" s="59">
        <v>0.73</v>
      </c>
      <c r="O40" s="59">
        <v>0.62</v>
      </c>
      <c r="P40" s="59">
        <v>0.14000000000000001</v>
      </c>
      <c r="Q40" s="59">
        <v>1.53</v>
      </c>
      <c r="R40" s="59">
        <v>0.09</v>
      </c>
      <c r="S40" s="59">
        <v>0.85</v>
      </c>
      <c r="T40" s="59">
        <v>1.53</v>
      </c>
      <c r="U40" s="59">
        <v>0.09</v>
      </c>
      <c r="V40" s="59">
        <v>0.85</v>
      </c>
    </row>
    <row r="41" spans="2:22" ht="37.25" customHeight="1">
      <c r="B41" s="48"/>
      <c r="C41" s="49">
        <v>39</v>
      </c>
      <c r="D41" s="55" t="s">
        <v>336</v>
      </c>
      <c r="E41" s="56">
        <v>0.91</v>
      </c>
      <c r="F41" s="57">
        <v>0.14000000000000001</v>
      </c>
      <c r="G41" s="58">
        <v>0.14000000000000001</v>
      </c>
      <c r="H41" s="57">
        <v>2.82</v>
      </c>
      <c r="I41" s="59">
        <v>1.53</v>
      </c>
      <c r="J41" s="59">
        <v>1.79</v>
      </c>
      <c r="K41" s="59">
        <v>1.22</v>
      </c>
      <c r="L41" s="59">
        <v>0.97</v>
      </c>
      <c r="M41" s="59">
        <v>0.08</v>
      </c>
      <c r="N41" s="59">
        <v>1.22</v>
      </c>
      <c r="O41" s="59">
        <v>0.97</v>
      </c>
      <c r="P41" s="59">
        <v>0.08</v>
      </c>
      <c r="Q41" s="59">
        <v>1.53</v>
      </c>
      <c r="R41" s="59">
        <v>0.11</v>
      </c>
      <c r="S41" s="59">
        <v>0.83</v>
      </c>
      <c r="T41" s="59">
        <v>1.53</v>
      </c>
      <c r="U41" s="59">
        <v>0.11</v>
      </c>
      <c r="V41" s="59">
        <v>0.83</v>
      </c>
    </row>
    <row r="42" spans="2:22" ht="37.25" customHeight="1">
      <c r="B42" s="48"/>
      <c r="C42" s="49">
        <v>40</v>
      </c>
      <c r="D42" s="55" t="s">
        <v>337</v>
      </c>
      <c r="E42" s="56">
        <v>0.56999999999999995</v>
      </c>
      <c r="F42" s="57">
        <v>0</v>
      </c>
      <c r="G42" s="58">
        <v>0</v>
      </c>
      <c r="H42" s="57">
        <v>1.69</v>
      </c>
      <c r="I42" s="59">
        <v>0.8</v>
      </c>
      <c r="J42" s="59">
        <v>1.08</v>
      </c>
      <c r="K42" s="59">
        <v>0.67</v>
      </c>
      <c r="L42" s="59">
        <v>0.57999999999999996</v>
      </c>
      <c r="M42" s="59">
        <v>7.0000000000000007E-2</v>
      </c>
      <c r="N42" s="59">
        <v>0.67</v>
      </c>
      <c r="O42" s="59">
        <v>0.57999999999999996</v>
      </c>
      <c r="P42" s="59">
        <v>7.0000000000000007E-2</v>
      </c>
      <c r="Q42" s="59">
        <v>0.36</v>
      </c>
      <c r="R42" s="59">
        <v>0.39</v>
      </c>
      <c r="S42" s="59">
        <v>0.74</v>
      </c>
      <c r="T42" s="59">
        <v>0.36</v>
      </c>
      <c r="U42" s="59">
        <v>0.39</v>
      </c>
      <c r="V42" s="59">
        <v>0.74</v>
      </c>
    </row>
    <row r="43" spans="2:22" ht="37.25" customHeight="1">
      <c r="B43" s="48"/>
      <c r="C43" s="49">
        <v>41</v>
      </c>
      <c r="D43" s="55" t="s">
        <v>338</v>
      </c>
      <c r="E43" s="56">
        <v>0.93</v>
      </c>
      <c r="F43" s="57">
        <v>0</v>
      </c>
      <c r="G43" s="58">
        <v>0</v>
      </c>
      <c r="H43" s="57">
        <v>3.6</v>
      </c>
      <c r="I43" s="59">
        <v>1.83</v>
      </c>
      <c r="J43" s="59">
        <v>1.71</v>
      </c>
      <c r="K43" s="59">
        <v>2.16</v>
      </c>
      <c r="L43" s="59">
        <v>1.49</v>
      </c>
      <c r="M43" s="59">
        <v>0.13</v>
      </c>
      <c r="N43" s="59">
        <v>2.16</v>
      </c>
      <c r="O43" s="59">
        <v>1.49</v>
      </c>
      <c r="P43" s="59">
        <v>0.13</v>
      </c>
      <c r="Q43" s="59">
        <v>0.64</v>
      </c>
      <c r="R43" s="59">
        <v>0.43</v>
      </c>
      <c r="S43" s="59">
        <v>0.69</v>
      </c>
      <c r="T43" s="59">
        <v>0.64</v>
      </c>
      <c r="U43" s="59">
        <v>0.43</v>
      </c>
      <c r="V43" s="59">
        <v>0.69</v>
      </c>
    </row>
    <row r="44" spans="2:22" ht="37.25" customHeight="1">
      <c r="B44" s="48"/>
      <c r="C44" s="49">
        <v>42</v>
      </c>
      <c r="D44" s="55" t="s">
        <v>339</v>
      </c>
      <c r="E44" s="56">
        <v>0.96</v>
      </c>
      <c r="F44" s="57">
        <v>0.04</v>
      </c>
      <c r="G44" s="58">
        <v>0.04</v>
      </c>
      <c r="H44" s="57">
        <v>3.3</v>
      </c>
      <c r="I44" s="59">
        <v>1.67</v>
      </c>
      <c r="J44" s="59">
        <v>2.2000000000000002</v>
      </c>
      <c r="K44" s="59">
        <v>2.1</v>
      </c>
      <c r="L44" s="59">
        <v>1.43</v>
      </c>
      <c r="M44" s="59">
        <v>0.09</v>
      </c>
      <c r="N44" s="59">
        <v>2.1</v>
      </c>
      <c r="O44" s="59">
        <v>1.43</v>
      </c>
      <c r="P44" s="59">
        <v>0.09</v>
      </c>
      <c r="Q44" s="59">
        <v>0.72</v>
      </c>
      <c r="R44" s="59">
        <v>0.42</v>
      </c>
      <c r="S44" s="59">
        <v>0.67</v>
      </c>
      <c r="T44" s="59">
        <v>0.72</v>
      </c>
      <c r="U44" s="59">
        <v>0.42</v>
      </c>
      <c r="V44" s="59">
        <v>0.67</v>
      </c>
    </row>
    <row r="45" spans="2:22" ht="37.25" customHeight="1">
      <c r="B45" s="48"/>
      <c r="C45" s="49">
        <v>43</v>
      </c>
      <c r="D45" s="55" t="s">
        <v>340</v>
      </c>
      <c r="E45" s="56">
        <v>1.05</v>
      </c>
      <c r="F45" s="57">
        <v>0.04</v>
      </c>
      <c r="G45" s="58">
        <v>0.04</v>
      </c>
      <c r="H45" s="57">
        <v>3.88</v>
      </c>
      <c r="I45" s="59">
        <v>2.2599999999999998</v>
      </c>
      <c r="J45" s="59">
        <v>1.97</v>
      </c>
      <c r="K45" s="59">
        <v>1.82</v>
      </c>
      <c r="L45" s="59">
        <v>1.46</v>
      </c>
      <c r="M45" s="59">
        <v>0.17</v>
      </c>
      <c r="N45" s="59">
        <v>1.82</v>
      </c>
      <c r="O45" s="59">
        <v>1.46</v>
      </c>
      <c r="P45" s="59">
        <v>0.17</v>
      </c>
      <c r="Q45" s="59">
        <v>0.81</v>
      </c>
      <c r="R45" s="59">
        <v>0.56999999999999995</v>
      </c>
      <c r="S45" s="59">
        <v>0.78</v>
      </c>
      <c r="T45" s="59">
        <v>0.81</v>
      </c>
      <c r="U45" s="59">
        <v>0.56999999999999995</v>
      </c>
      <c r="V45" s="59">
        <v>0.78</v>
      </c>
    </row>
    <row r="46" spans="2:22" ht="37.25" customHeight="1">
      <c r="B46" s="48"/>
      <c r="C46" s="49">
        <v>44</v>
      </c>
      <c r="D46" s="55" t="s">
        <v>341</v>
      </c>
      <c r="E46" s="56">
        <v>1.18</v>
      </c>
      <c r="F46" s="57">
        <v>0.65</v>
      </c>
      <c r="G46" s="58">
        <v>0.65</v>
      </c>
      <c r="H46" s="57">
        <v>5.26</v>
      </c>
      <c r="I46" s="59">
        <v>3.07</v>
      </c>
      <c r="J46" s="59">
        <v>2.2000000000000002</v>
      </c>
      <c r="K46" s="59">
        <v>3.14</v>
      </c>
      <c r="L46" s="59">
        <v>2.0699999999999998</v>
      </c>
      <c r="M46" s="59">
        <v>0.08</v>
      </c>
      <c r="N46" s="59">
        <v>3.14</v>
      </c>
      <c r="O46" s="59">
        <v>2.0699999999999998</v>
      </c>
      <c r="P46" s="59">
        <v>0.08</v>
      </c>
      <c r="Q46" s="59">
        <v>0.67</v>
      </c>
      <c r="R46" s="59">
        <v>0.54</v>
      </c>
      <c r="S46" s="59">
        <v>0.77</v>
      </c>
      <c r="T46" s="59">
        <v>0.67</v>
      </c>
      <c r="U46" s="59">
        <v>0.54</v>
      </c>
      <c r="V46" s="59">
        <v>0.77</v>
      </c>
    </row>
    <row r="47" spans="2:22" ht="37.25" customHeight="1">
      <c r="B47" s="48"/>
      <c r="C47" s="49">
        <v>45</v>
      </c>
      <c r="D47" s="55" t="s">
        <v>342</v>
      </c>
      <c r="E47" s="56">
        <v>1.84</v>
      </c>
      <c r="F47" s="57">
        <v>0.89</v>
      </c>
      <c r="G47" s="58">
        <v>0.89</v>
      </c>
      <c r="H47" s="57">
        <v>5.24</v>
      </c>
      <c r="I47" s="59">
        <v>2.87</v>
      </c>
      <c r="J47" s="59">
        <v>2.64</v>
      </c>
      <c r="K47" s="59">
        <v>2.5499999999999998</v>
      </c>
      <c r="L47" s="59">
        <v>2.16</v>
      </c>
      <c r="M47" s="59">
        <v>0.46</v>
      </c>
      <c r="N47" s="59">
        <v>2.5499999999999998</v>
      </c>
      <c r="O47" s="59">
        <v>2.16</v>
      </c>
      <c r="P47" s="59">
        <v>0.46</v>
      </c>
      <c r="Q47" s="59">
        <v>1.49</v>
      </c>
      <c r="R47" s="59">
        <v>1.82</v>
      </c>
      <c r="S47" s="59">
        <v>1.56</v>
      </c>
      <c r="T47" s="59">
        <v>1.49</v>
      </c>
      <c r="U47" s="59">
        <v>1.82</v>
      </c>
      <c r="V47" s="59">
        <v>1.56</v>
      </c>
    </row>
    <row r="48" spans="2:22" ht="37.25" customHeight="1">
      <c r="B48" s="48"/>
      <c r="C48" s="49">
        <v>46</v>
      </c>
      <c r="D48" s="55" t="s">
        <v>343</v>
      </c>
      <c r="E48" s="56">
        <v>1.87</v>
      </c>
      <c r="F48" s="57">
        <v>1.63</v>
      </c>
      <c r="G48" s="58">
        <v>1.63</v>
      </c>
      <c r="H48" s="57">
        <v>5.12</v>
      </c>
      <c r="I48" s="59">
        <v>2.7</v>
      </c>
      <c r="J48" s="59">
        <v>2.57</v>
      </c>
      <c r="K48" s="59">
        <v>2.58</v>
      </c>
      <c r="L48" s="59">
        <v>2.16</v>
      </c>
      <c r="M48" s="59">
        <v>0.49</v>
      </c>
      <c r="N48" s="59">
        <v>2.58</v>
      </c>
      <c r="O48" s="59">
        <v>2.16</v>
      </c>
      <c r="P48" s="59">
        <v>0.49</v>
      </c>
      <c r="Q48" s="59">
        <v>1.44</v>
      </c>
      <c r="R48" s="59">
        <v>1.76</v>
      </c>
      <c r="S48" s="59">
        <v>1.54</v>
      </c>
      <c r="T48" s="59">
        <v>1.44</v>
      </c>
      <c r="U48" s="59">
        <v>1.76</v>
      </c>
      <c r="V48" s="59">
        <v>1.54</v>
      </c>
    </row>
    <row r="49" spans="2:22" ht="37.25" customHeight="1">
      <c r="B49" s="48"/>
      <c r="C49" s="49">
        <v>47</v>
      </c>
      <c r="D49" s="55" t="s">
        <v>344</v>
      </c>
      <c r="E49" s="56">
        <v>2.5299999999999998</v>
      </c>
      <c r="F49" s="57">
        <v>1.17</v>
      </c>
      <c r="G49" s="58">
        <v>1.17</v>
      </c>
      <c r="H49" s="57">
        <v>15.44</v>
      </c>
      <c r="I49" s="59">
        <v>5.5</v>
      </c>
      <c r="J49" s="59">
        <v>5.2</v>
      </c>
      <c r="K49" s="59">
        <v>6.55</v>
      </c>
      <c r="L49" s="59">
        <v>5.58</v>
      </c>
      <c r="M49" s="59">
        <v>0.35</v>
      </c>
      <c r="N49" s="59">
        <v>6.55</v>
      </c>
      <c r="O49" s="59">
        <v>5.58</v>
      </c>
      <c r="P49" s="59">
        <v>0.35</v>
      </c>
      <c r="Q49" s="59">
        <v>2.12</v>
      </c>
      <c r="R49" s="59">
        <v>1.7</v>
      </c>
      <c r="S49" s="59">
        <v>1.54</v>
      </c>
      <c r="T49" s="59">
        <v>2.12</v>
      </c>
      <c r="U49" s="59">
        <v>1.7</v>
      </c>
      <c r="V49" s="59">
        <v>1.54</v>
      </c>
    </row>
    <row r="50" spans="2:22" ht="37.25" customHeight="1">
      <c r="B50" s="48"/>
      <c r="C50" s="49">
        <v>48</v>
      </c>
      <c r="D50" s="55" t="s">
        <v>345</v>
      </c>
      <c r="E50" s="56">
        <v>2.75</v>
      </c>
      <c r="F50" s="57">
        <v>3.52</v>
      </c>
      <c r="G50" s="58">
        <v>3.52</v>
      </c>
      <c r="H50" s="57">
        <v>12.62</v>
      </c>
      <c r="I50" s="59">
        <v>3.99</v>
      </c>
      <c r="J50" s="59">
        <v>5.05</v>
      </c>
      <c r="K50" s="59">
        <v>6.2</v>
      </c>
      <c r="L50" s="59">
        <v>5.73</v>
      </c>
      <c r="M50" s="59">
        <v>0.53</v>
      </c>
      <c r="N50" s="59">
        <v>6.2</v>
      </c>
      <c r="O50" s="59">
        <v>5.73</v>
      </c>
      <c r="P50" s="59">
        <v>0.53</v>
      </c>
      <c r="Q50" s="59">
        <v>2.11</v>
      </c>
      <c r="R50" s="59">
        <v>1.81</v>
      </c>
      <c r="S50" s="59">
        <v>1.58</v>
      </c>
      <c r="T50" s="59">
        <v>2.11</v>
      </c>
      <c r="U50" s="59">
        <v>1.81</v>
      </c>
      <c r="V50" s="59">
        <v>1.58</v>
      </c>
    </row>
    <row r="51" spans="2:22" ht="37.25" customHeight="1">
      <c r="B51" s="48"/>
      <c r="C51" s="49">
        <v>49</v>
      </c>
      <c r="D51" s="55" t="s">
        <v>346</v>
      </c>
      <c r="E51" s="56">
        <v>3.27</v>
      </c>
      <c r="F51" s="57">
        <v>3.92</v>
      </c>
      <c r="G51" s="58">
        <v>3.92</v>
      </c>
      <c r="H51" s="57">
        <v>16.13</v>
      </c>
      <c r="I51" s="59">
        <v>4.47</v>
      </c>
      <c r="J51" s="59">
        <v>5.71</v>
      </c>
      <c r="K51" s="59">
        <v>7.12</v>
      </c>
      <c r="L51" s="59">
        <v>5.37</v>
      </c>
      <c r="M51" s="59">
        <v>2.54</v>
      </c>
      <c r="N51" s="59">
        <v>7.12</v>
      </c>
      <c r="O51" s="59">
        <v>5.37</v>
      </c>
      <c r="P51" s="59">
        <v>2.54</v>
      </c>
      <c r="Q51" s="59">
        <v>2.14</v>
      </c>
      <c r="R51" s="59">
        <v>1.82</v>
      </c>
      <c r="S51" s="59">
        <v>1.61</v>
      </c>
      <c r="T51" s="59">
        <v>2.14</v>
      </c>
      <c r="U51" s="59">
        <v>1.82</v>
      </c>
      <c r="V51" s="59">
        <v>1.61</v>
      </c>
    </row>
    <row r="52" spans="2:22" ht="24" customHeight="1">
      <c r="F52" s="46"/>
    </row>
    <row r="56" spans="2:22" ht="24" customHeight="1">
      <c r="F56" s="44"/>
      <c r="G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2:22" ht="24" customHeight="1">
      <c r="F57" s="44"/>
      <c r="G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2:22" ht="24" customHeight="1">
      <c r="F58" s="44"/>
      <c r="G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2:22" ht="24" customHeight="1">
      <c r="F59" s="44"/>
      <c r="G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2:22" ht="24" customHeight="1">
      <c r="F60" s="44"/>
      <c r="G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2:22" ht="24" customHeight="1">
      <c r="F61" s="44"/>
      <c r="G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2:22" ht="24" customHeight="1">
      <c r="F62" s="44"/>
      <c r="G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2:22" ht="24" customHeight="1">
      <c r="F63" s="44"/>
      <c r="G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2:22" ht="24" customHeight="1">
      <c r="F64" s="44"/>
      <c r="G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6:22" ht="24" customHeight="1">
      <c r="F65" s="44"/>
      <c r="G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6:22" ht="24" customHeight="1">
      <c r="F66" s="44"/>
      <c r="G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</row>
    <row r="67" spans="6:22" ht="24" customHeight="1">
      <c r="F67" s="44"/>
      <c r="G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6:22" ht="24" customHeight="1">
      <c r="F68" s="44"/>
      <c r="G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6:22" ht="24" customHeight="1">
      <c r="F69" s="44"/>
      <c r="G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6:22" ht="24" customHeight="1">
      <c r="F70" s="44"/>
      <c r="G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6:22" ht="24" customHeight="1">
      <c r="F71" s="44"/>
      <c r="G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6:22" ht="24" customHeight="1">
      <c r="F72" s="44"/>
      <c r="G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6:22" ht="24" customHeight="1">
      <c r="F73" s="44"/>
      <c r="G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6:22" ht="24" customHeight="1">
      <c r="F74" s="44"/>
      <c r="G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</row>
    <row r="75" spans="6:22" ht="24" customHeight="1">
      <c r="F75" s="44"/>
      <c r="G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3073-2134-442C-8859-61E08BADDD9E}">
  <sheetPr codeName="Sheet7">
    <tabColor theme="1" tint="0.499984740745262"/>
  </sheetPr>
  <dimension ref="B2:D2"/>
  <sheetViews>
    <sheetView tabSelected="1" workbookViewId="0">
      <selection activeCell="H6" sqref="H6"/>
    </sheetView>
  </sheetViews>
  <sheetFormatPr defaultRowHeight="14.25"/>
  <cols>
    <col min="1" max="1" width="2.73046875" customWidth="1"/>
    <col min="3" max="3" width="39.33203125" customWidth="1"/>
    <col min="4" max="4" width="9.9296875" bestFit="1" customWidth="1"/>
  </cols>
  <sheetData>
    <row r="2" spans="2:4">
      <c r="B2" t="s">
        <v>284</v>
      </c>
      <c r="C2" t="s">
        <v>283</v>
      </c>
      <c r="D2" s="25">
        <v>45587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Overview</vt:lpstr>
      <vt:lpstr>Simulation Information</vt:lpstr>
      <vt:lpstr>Thermal Environment</vt:lpstr>
      <vt:lpstr>Results</vt:lpstr>
      <vt:lpstr>Clothing Reference</vt:lpstr>
      <vt:lpstr>Change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Akihisa Nomoto</dc:creator>
  <cp:lastModifiedBy>Akihisa Nomoto</cp:lastModifiedBy>
  <dcterms:created xsi:type="dcterms:W3CDTF">2024-10-01T05:05:19Z</dcterms:created>
  <dcterms:modified xsi:type="dcterms:W3CDTF">2024-11-21T05:08:34Z</dcterms:modified>
</cp:coreProperties>
</file>