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nyo\PycharmProjects\ABC_toolbox\abc_model_excel_toolkit\"/>
    </mc:Choice>
  </mc:AlternateContent>
  <xr:revisionPtr revIDLastSave="0" documentId="13_ncr:1_{22CD6766-107C-4183-B93D-C838C1044E9C}" xr6:coauthVersionLast="47" xr6:coauthVersionMax="47" xr10:uidLastSave="{00000000-0000-0000-0000-000000000000}"/>
  <bookViews>
    <workbookView xWindow="-98" yWindow="-98" windowWidth="24496" windowHeight="15675" activeTab="4" xr2:uid="{DBF3E41C-67D9-4203-8DB4-BA5359FA276E}"/>
  </bookViews>
  <sheets>
    <sheet name="Overview" sheetId="5" r:id="rId1"/>
    <sheet name="Simulation Information" sheetId="1" r:id="rId2"/>
    <sheet name="Thermal Environment" sheetId="2" r:id="rId3"/>
    <sheet name="Results" sheetId="3" r:id="rId4"/>
    <sheet name="Clothing Reference" sheetId="8" r:id="rId5"/>
    <sheet name="Change Log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1" l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31" i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4" i="2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Akihisa Nomoto</author>
    <author>tc={3F8E3EAB-1C52-496B-A651-814DE8E79EAF}</author>
  </authors>
  <commentList>
    <comment ref="C6" authorId="0" shapeId="0" xr:uid="{A3A76B36-4873-4262-877C-67A5C2F165F7}">
      <text>
        <r>
          <rPr>
            <b/>
            <sz val="9"/>
            <color indexed="81"/>
            <rFont val="Tahoma"/>
            <family val="2"/>
          </rPr>
          <t>Akihisa Nomoto: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b/>
            <sz val="9"/>
            <color indexed="81"/>
            <rFont val="Tahoma"/>
            <family val="2"/>
          </rPr>
          <t>IMPORTANT]</t>
        </r>
        <r>
          <rPr>
            <sz val="9"/>
            <color indexed="81"/>
            <rFont val="Tahoma"/>
            <family val="2"/>
          </rPr>
          <t xml:space="preserve"> Please specify the correct file path for the downloaded ABC tool box folder in your computer.　</t>
        </r>
      </text>
    </comment>
    <comment ref="C8" authorId="1" shapeId="0" xr:uid="{3F8E3EAB-1C52-496B-A651-814DE8E79EAF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default values (columns D) are set if you do not define the optional input values.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tc={7857FEBB-9F6B-437A-9E22-7E032DEB9C8D}</author>
  </authors>
  <commentList>
    <comment ref="G2" authorId="0" shapeId="0" xr:uid="{7857FEBB-9F6B-437A-9E22-7E032DEB9C8D}">
      <text>
        <t>[Threaded comment]
Your version of Excel allows you to read this threaded comment; however, any edits to it will get removed if the file is opened in a newer version of Excel. Learn more: https://go.microsoft.com/fwlink/?linkid=870924
Comment:
    In this sheet, clothing insulation for the Neck is assumed to be the same as for the Head.</t>
      </text>
    </comment>
  </commentList>
</comments>
</file>

<file path=xl/sharedStrings.xml><?xml version="1.0" encoding="utf-8"?>
<sst xmlns="http://schemas.openxmlformats.org/spreadsheetml/2006/main" count="361" uniqueCount="182">
  <si>
    <t>Sample</t>
  </si>
  <si>
    <t>This is an input file for a sample project.</t>
  </si>
  <si>
    <t>Head</t>
  </si>
  <si>
    <t>Neck</t>
    <phoneticPr fontId="0"/>
  </si>
  <si>
    <t>Chest</t>
  </si>
  <si>
    <t>Back</t>
  </si>
  <si>
    <t>Pelvis</t>
  </si>
  <si>
    <t>description</t>
  </si>
  <si>
    <t>Left Upper Arm</t>
  </si>
  <si>
    <t>Right Upper Arm</t>
  </si>
  <si>
    <t>Left Lower Arm</t>
  </si>
  <si>
    <t>Right Lower Arm</t>
  </si>
  <si>
    <t>Left Hand</t>
  </si>
  <si>
    <t>Right Hand</t>
  </si>
  <si>
    <t>Left Thigh</t>
  </si>
  <si>
    <t>Right Thigh</t>
  </si>
  <si>
    <t>Left Lower Leg</t>
  </si>
  <si>
    <t>Right Lower Leg</t>
  </si>
  <si>
    <t>Left Foot</t>
  </si>
  <si>
    <t>Right Foot</t>
  </si>
  <si>
    <t>sample clothing ensemble</t>
  </si>
  <si>
    <t>This is sample clothing ensemble data.</t>
  </si>
  <si>
    <t>Neck</t>
  </si>
  <si>
    <t>Outdoor</t>
  </si>
  <si>
    <t>start_time</t>
  </si>
  <si>
    <t>end_time</t>
  </si>
  <si>
    <t>time_units</t>
  </si>
  <si>
    <t>met</t>
  </si>
  <si>
    <t>ramp</t>
  </si>
  <si>
    <t>Air Temperature</t>
  </si>
  <si>
    <t>[oC]</t>
  </si>
  <si>
    <t>Mean Radiant Temperature</t>
  </si>
  <si>
    <t>Relative Humidity</t>
  </si>
  <si>
    <t>Air velocity</t>
  </si>
  <si>
    <t>[m/s]</t>
  </si>
  <si>
    <t>[W/m2]</t>
  </si>
  <si>
    <t>Indoor</t>
  </si>
  <si>
    <t>ta</t>
  </si>
  <si>
    <t>mrt</t>
  </si>
  <si>
    <t>rh</t>
  </si>
  <si>
    <t>[nd]</t>
  </si>
  <si>
    <t>v</t>
  </si>
  <si>
    <t>solar</t>
  </si>
  <si>
    <t>Solar radiation</t>
  </si>
  <si>
    <t>[met]</t>
  </si>
  <si>
    <t>Clothing insulation Icl(i)  [clo]</t>
  </si>
  <si>
    <t>id</t>
  </si>
  <si>
    <t>name</t>
  </si>
  <si>
    <t>bodybuilder</t>
  </si>
  <si>
    <t>age</t>
  </si>
  <si>
    <t>body_fat</t>
  </si>
  <si>
    <t>gender</t>
  </si>
  <si>
    <t>height</t>
  </si>
  <si>
    <t>weight</t>
  </si>
  <si>
    <t>skin_color</t>
  </si>
  <si>
    <t>bloodFlow_factor</t>
  </si>
  <si>
    <t>skinBloodFlow_factor</t>
  </si>
  <si>
    <t>conductance_factor</t>
  </si>
  <si>
    <t>capacitance_factor</t>
  </si>
  <si>
    <t>male</t>
  </si>
  <si>
    <t>brown</t>
  </si>
  <si>
    <t>clothing</t>
  </si>
  <si>
    <t>ensemble_name</t>
  </si>
  <si>
    <t>segment_data</t>
  </si>
  <si>
    <t>segment</t>
  </si>
  <si>
    <t>Clothing area factor fcl(i)   [-]</t>
  </si>
  <si>
    <t>options</t>
  </si>
  <si>
    <t>sensation_adaptation</t>
  </si>
  <si>
    <t>sensation_coredTdt</t>
  </si>
  <si>
    <t>comfort_model</t>
  </si>
  <si>
    <t>comfort_setpoint_input</t>
  </si>
  <si>
    <t>passive_comfort_setpoints</t>
  </si>
  <si>
    <t>transient_comfort_model</t>
  </si>
  <si>
    <t>user_control_comfort_model</t>
  </si>
  <si>
    <t>output_freq</t>
  </si>
  <si>
    <t>Unique identifier for the simulation</t>
  </si>
  <si>
    <t>Name of the simulation</t>
  </si>
  <si>
    <t>Detailed description of the simulation</t>
  </si>
  <si>
    <t>Properties</t>
  </si>
  <si>
    <t>Age of the individual</t>
  </si>
  <si>
    <t>Gender of the individual</t>
  </si>
  <si>
    <t>Height of the individual</t>
  </si>
  <si>
    <t>Weight of the individual</t>
  </si>
  <si>
    <t>Body fat percentage</t>
  </si>
  <si>
    <t>Skin color of the individual</t>
  </si>
  <si>
    <t>A special additional multiplier for skin blood flow</t>
  </si>
  <si>
    <t>A special additional multiplier for cardiac output</t>
  </si>
  <si>
    <t>A special additional multiplier for thermal conductance of the body</t>
  </si>
  <si>
    <t>A special additional multiplier for thermal capacity of the body</t>
  </si>
  <si>
    <t>Body to be simulated. This function customizes the geometry and physiology of the human.</t>
  </si>
  <si>
    <t>Default values</t>
  </si>
  <si>
    <t>YOUR INPUT VALUES</t>
  </si>
  <si>
    <t>test clothing ensamble</t>
  </si>
  <si>
    <t>clo_ensemble_name</t>
  </si>
  <si>
    <t>minutes</t>
  </si>
  <si>
    <t>Summer casual</t>
  </si>
  <si>
    <t>condition_name</t>
  </si>
  <si>
    <t>met_activity_name</t>
  </si>
  <si>
    <t>Custom input met</t>
  </si>
  <si>
    <t>Description</t>
  </si>
  <si>
    <t>Name of the clothing ensemble</t>
  </si>
  <si>
    <t>Description of the clothing ensemble's use or conditions</t>
  </si>
  <si>
    <t>Local clothing insulation and area factor data for body segments</t>
  </si>
  <si>
    <t>Simulation options</t>
  </si>
  <si>
    <t>If true, use sensation adaptation model.</t>
  </si>
  <si>
    <t>If true, use core temperature time derivative in sensation model.</t>
  </si>
  <si>
    <t>[Mainly for developer] If true, run comfort model using skin temperature input.</t>
  </si>
  <si>
    <t>[Mainly for developer] If true, read comfort setpoints from input.</t>
  </si>
  <si>
    <t>[Mainly for developer] If true, disable regulatory model when calculating comfort setpoints.</t>
  </si>
  <si>
    <t xml:space="preserve">If true, use comfort model for transient conditions. </t>
  </si>
  <si>
    <t>If true, use comfort model for user controlled conditions.</t>
  </si>
  <si>
    <t>Optional input</t>
  </si>
  <si>
    <t>Downloaded ABC_Toolbox path</t>
  </si>
  <si>
    <t>Required input</t>
  </si>
  <si>
    <t>Initial example template</t>
  </si>
  <si>
    <t>v1.0</t>
  </si>
  <si>
    <t>C:\Users\monyo\PycharmProjects\ABC_toolbox</t>
  </si>
  <si>
    <t>Paper, Thesis</t>
    <phoneticPr fontId="9"/>
  </si>
  <si>
    <t>Whole Body</t>
    <phoneticPr fontId="9"/>
  </si>
  <si>
    <t>L-Shoulder</t>
  </si>
  <si>
    <t>L-Arm</t>
  </si>
  <si>
    <t>L-Hand</t>
  </si>
  <si>
    <t>R-Shoulder</t>
  </si>
  <si>
    <t>R-Arm</t>
  </si>
  <si>
    <t>R-Hand</t>
  </si>
  <si>
    <t>L-Thigh</t>
  </si>
  <si>
    <t>L-Leg</t>
  </si>
  <si>
    <t>L-Foot</t>
  </si>
  <si>
    <t>R-Thigh</t>
  </si>
  <si>
    <t>R-Leg</t>
  </si>
  <si>
    <t>R-Foot</t>
  </si>
  <si>
    <t>Nude (Mesh Chair)</t>
  </si>
  <si>
    <t>Nude (Nude Chair)</t>
  </si>
  <si>
    <t>panty</t>
  </si>
  <si>
    <t>Bra+panty</t>
  </si>
  <si>
    <t>Bra+panty,tanktop,shortssandals</t>
  </si>
  <si>
    <t>Bra+pantylong-sleeve shirt, shortssandals</t>
  </si>
  <si>
    <t>Bra+pantysleeveless dress,sandals</t>
  </si>
  <si>
    <t>Bra+pantyT-shirt, long pants,socks,sneakers</t>
  </si>
  <si>
    <t>Bra+pantysleeveless dress,cardigan, sandals</t>
  </si>
  <si>
    <t>Bra+pantysong-sleeve dress,socks,sneakers</t>
  </si>
  <si>
    <t>Bra+pantylong-sleeve dress,cardigansocks,sneakers</t>
  </si>
  <si>
    <t>Bra+pantytank top,skirt,sandals</t>
  </si>
  <si>
    <t>Bra+pantylong sleeve shirts,Skirt,Sandals</t>
  </si>
  <si>
    <t>Bra+pantydress shirts,skirt,stocking,formal shoes</t>
  </si>
  <si>
    <t>Bra+pantydress shirts,skirt, leggings,sandals</t>
  </si>
  <si>
    <t>Bra+pantyThin dress shirts,longpants, socks, sneakers</t>
  </si>
  <si>
    <t>Bra+pantylong sleeve shirts,longpants,socks,sneakers</t>
  </si>
  <si>
    <t>Bra+pantyT-shirt, long sleeveshirts,long pants,socks,sneakers</t>
  </si>
  <si>
    <t>Bra+pantyT-shirt,jeans,socks,sneakers</t>
  </si>
  <si>
    <t>Bra+pantylong sleeve shirts,jeans,socks, sneakers</t>
  </si>
  <si>
    <t>Bra+pantyOxford shirts,Long thin pants,Socks,sneakers</t>
  </si>
  <si>
    <t>Bra+pantyThin dress shirts,Longpants, socks, sneakers</t>
  </si>
  <si>
    <t>Bra+pantyThin dress shirts(roll-up),Long pants,socks,sneakers</t>
  </si>
  <si>
    <t>Bra+panty T-shirts,Short sleeve shirt, longpants, socks,sneakers</t>
  </si>
  <si>
    <t>Bra+panty, Sports shirts,long pants,socks,sneakers</t>
  </si>
  <si>
    <t>Bra+panty, sports shirts,sports pants, sports socks,sports shoes</t>
  </si>
  <si>
    <t>Bra+panty,Thin-dressshirts, Long pants, Woolsweater, Socks,sneakers</t>
  </si>
  <si>
    <t>Bra+panty, Thin dressshirts,Long pants,Cashmere sweater,Socks,sneakers</t>
  </si>
  <si>
    <t>Bra+panty, T-shirt,Longsleeve shirts, Long pants,Winter Jacket, socks,sneakers</t>
  </si>
  <si>
    <t>Bra+pantyT-shirts, long sleeveshirts, jeans, sportsjumper, socks,sneakers</t>
  </si>
  <si>
    <t>Bra+panty, T-shirt,longsleeve shirts, long pants,ventura jacket, socks,sneakers</t>
  </si>
  <si>
    <t>Bra+panty, turtle neck,long pants, short trenchcoat, socks, sneakers</t>
  </si>
  <si>
    <t>pantyT-shirt, long sleeve shirts,long pants, winter jacketsocks,sneakers</t>
  </si>
  <si>
    <t>Bra+panty, tank top, longsleeve shirts, blazer, skirt,sandals</t>
  </si>
  <si>
    <t>Bra+pantylong sleeve shirts, woolskirt, socks, formal shoes</t>
  </si>
  <si>
    <t>Bra+pantyturtleneck, wool skirt,socks, formal shoes</t>
  </si>
  <si>
    <t>Bra+pantylong sleeve shirt, woolskirt, sweater, socks,formal shoes</t>
  </si>
  <si>
    <t>Bra+panty, Thin dressshirts,slacks, tie, socks,sneakers</t>
  </si>
  <si>
    <t>Bra+pantyThin dress shirts,slacks,blazer,tie, belt, socks,formal shoes</t>
  </si>
  <si>
    <t>Bra+pantyLong sleeve shirts,Longpants, Blazer,socks,sneakers</t>
  </si>
  <si>
    <t>Bra+pantyT-shirts, Long sleeveshirts,Long Pants, WinterJacket(Notica),</t>
  </si>
  <si>
    <t>Bra+pantyT-shirts,Long sleeveshirts, Long Pants, WinterJacket, socks,sneakers</t>
  </si>
  <si>
    <t>Bra+panty, Turtle neck,Ski-Jumper, Skin pantssports socks, sports shoes</t>
  </si>
  <si>
    <t>Bra+pantyTurtle neck, Ski-Jumperand hood, Skin pantssports socks, sports shoes</t>
  </si>
  <si>
    <t>Bra+panty, Turtle neck,Goose down, ski pants,sports socks, sports shoes</t>
  </si>
  <si>
    <t>Bra+panty, Turtle neck,Goose down-with hood,ski pants, sports socks,sports shoes</t>
  </si>
  <si>
    <t>Bra+panty, Turtle neck,Goose down-with hoodand gloves, ski pants,sports socks, sports shoes</t>
  </si>
  <si>
    <t>J Lee et al. Typical Clothing Ensemble Insulation Levels for Sixteen Body Parts, 2013</t>
  </si>
  <si>
    <t>Ensemble No.</t>
  </si>
  <si>
    <t>Segments No.</t>
  </si>
  <si>
    <t>Segment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</si>
</sst>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C000"/>
      <name val="Aptos Narrow"/>
      <family val="2"/>
      <scheme val="minor"/>
    </font>
    <font>
      <sz val="10"/>
      <color theme="1"/>
      <name val="Arial"/>
      <family val="2"/>
      <charset val="128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  <charset val="128"/>
    </font>
    <font>
      <sz val="10"/>
      <color rgb="FFFF0000"/>
      <name val="Arial"/>
      <family val="2"/>
    </font>
    <font>
      <sz val="10"/>
      <color rgb="FF0070C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F6D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>
      <alignment vertical="center"/>
    </xf>
  </cellStyleXfs>
  <cellXfs count="6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2" borderId="0" xfId="0" applyFill="1" applyAlignment="1">
      <alignment horizontal="center" textRotation="90"/>
    </xf>
    <xf numFmtId="0" fontId="0" fillId="3" borderId="0" xfId="0" applyFill="1" applyAlignment="1">
      <alignment horizontal="center" textRotation="90"/>
    </xf>
    <xf numFmtId="0" fontId="0" fillId="5" borderId="0" xfId="0" applyFill="1"/>
    <xf numFmtId="0" fontId="0" fillId="5" borderId="0" xfId="0" applyFill="1" applyAlignment="1">
      <alignment horizontal="center" textRotation="90"/>
    </xf>
    <xf numFmtId="0" fontId="0" fillId="4" borderId="0" xfId="0" applyFill="1" applyAlignment="1">
      <alignment horizontal="center" textRotation="90"/>
    </xf>
    <xf numFmtId="0" fontId="0" fillId="6" borderId="0" xfId="0" applyFill="1"/>
    <xf numFmtId="0" fontId="0" fillId="6" borderId="0" xfId="0" applyFill="1" applyAlignment="1">
      <alignment horizontal="center" textRotation="90"/>
    </xf>
    <xf numFmtId="0" fontId="0" fillId="0" borderId="0" xfId="0" applyAlignment="1">
      <alignment horizontal="left" vertical="center"/>
    </xf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6" borderId="0" xfId="0" applyFont="1" applyFill="1"/>
    <xf numFmtId="0" fontId="1" fillId="5" borderId="0" xfId="0" applyFont="1" applyFill="1"/>
    <xf numFmtId="0" fontId="1" fillId="4" borderId="0" xfId="0" applyFont="1" applyFill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0" fillId="4" borderId="0" xfId="0" applyNumberFormat="1" applyFill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0" xfId="0" applyNumberFormat="1"/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64" fontId="0" fillId="4" borderId="4" xfId="0" applyNumberFormat="1" applyFill="1" applyBorder="1" applyAlignment="1">
      <alignment horizontal="left" vertical="center"/>
    </xf>
    <xf numFmtId="164" fontId="0" fillId="0" borderId="4" xfId="0" applyNumberFormat="1" applyBorder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7" borderId="0" xfId="0" applyFill="1" applyAlignment="1">
      <alignment horizontal="left" vertical="center" wrapText="1"/>
    </xf>
    <xf numFmtId="0" fontId="1" fillId="0" borderId="4" xfId="0" applyFont="1" applyBorder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7" fillId="8" borderId="0" xfId="0" applyFont="1" applyFill="1" applyAlignment="1">
      <alignment horizontal="left" vertical="center"/>
    </xf>
    <xf numFmtId="164" fontId="0" fillId="4" borderId="5" xfId="0" applyNumberForma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4" fontId="0" fillId="4" borderId="2" xfId="0" applyNumberFormat="1" applyFill="1" applyBorder="1" applyAlignment="1">
      <alignment horizontal="left" vertical="center" wrapText="1"/>
    </xf>
    <xf numFmtId="0" fontId="8" fillId="0" borderId="0" xfId="1">
      <alignment vertical="center"/>
    </xf>
    <xf numFmtId="0" fontId="10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3" fillId="0" borderId="0" xfId="1" applyFont="1">
      <alignment vertical="center"/>
    </xf>
    <xf numFmtId="0" fontId="14" fillId="0" borderId="0" xfId="1" applyFont="1">
      <alignment vertical="center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horizontal="center" vertical="center"/>
    </xf>
    <xf numFmtId="0" fontId="16" fillId="0" borderId="0" xfId="1" applyFont="1">
      <alignment vertical="center"/>
    </xf>
    <xf numFmtId="0" fontId="17" fillId="0" borderId="0" xfId="1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5" fillId="0" borderId="0" xfId="1" applyFont="1" applyAlignment="1">
      <alignment horizontal="left" vertical="center" wrapText="1"/>
    </xf>
    <xf numFmtId="0" fontId="15" fillId="0" borderId="7" xfId="1" applyFont="1" applyBorder="1" applyAlignment="1">
      <alignment vertical="center" wrapText="1"/>
    </xf>
    <xf numFmtId="2" fontId="16" fillId="0" borderId="7" xfId="1" applyNumberFormat="1" applyFont="1" applyBorder="1" applyAlignment="1">
      <alignment horizontal="right" vertical="center"/>
    </xf>
    <xf numFmtId="2" fontId="15" fillId="0" borderId="7" xfId="1" applyNumberFormat="1" applyFont="1" applyBorder="1" applyAlignment="1">
      <alignment horizontal="right" vertical="center"/>
    </xf>
    <xf numFmtId="2" fontId="17" fillId="0" borderId="7" xfId="1" applyNumberFormat="1" applyFont="1" applyBorder="1" applyAlignment="1">
      <alignment horizontal="right" vertical="center"/>
    </xf>
    <xf numFmtId="2" fontId="18" fillId="0" borderId="7" xfId="1" applyNumberFormat="1" applyFont="1" applyBorder="1" applyAlignment="1">
      <alignment horizontal="right" vertical="center"/>
    </xf>
  </cellXfs>
  <cellStyles count="2">
    <cellStyle name="Normal" xfId="0" builtinId="0"/>
    <cellStyle name="標準 2" xfId="1" xr:uid="{66363782-5356-4CC4-AEFE-2D9517F7C5CB}"/>
  </cellStyles>
  <dxfs count="0"/>
  <tableStyles count="0" defaultTableStyle="TableStyleMedium2" defaultPivotStyle="PivotStyleLight16"/>
  <colors>
    <mruColors>
      <color rgb="FFF8F6D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581025</xdr:colOff>
      <xdr:row>34</xdr:row>
      <xdr:rowOff>171450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E8C2221-BF65-4BAF-AA37-734108B2EBDA}"/>
            </a:ext>
          </a:extLst>
        </xdr:cNvPr>
        <xdr:cNvGrpSpPr/>
      </xdr:nvGrpSpPr>
      <xdr:grpSpPr>
        <a:xfrm>
          <a:off x="204788" y="180975"/>
          <a:ext cx="9648825" cy="6143625"/>
          <a:chOff x="3048000" y="219075"/>
          <a:chExt cx="9648825" cy="6143625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6DA4155-F2CD-8FC6-34EA-DF04476AE80C}"/>
              </a:ext>
            </a:extLst>
          </xdr:cNvPr>
          <xdr:cNvSpPr txBox="1"/>
        </xdr:nvSpPr>
        <xdr:spPr>
          <a:xfrm>
            <a:off x="3048000" y="219075"/>
            <a:ext cx="9648825" cy="6143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ja-JP" sz="1800" b="1"/>
              <a:t>Welcome to</a:t>
            </a:r>
            <a:r>
              <a:rPr lang="en-US" altLang="ja-JP" sz="1800" b="1" baseline="0"/>
              <a:t> the Advanced Berkeley Comfort (ABC) </a:t>
            </a:r>
            <a:r>
              <a:rPr lang="en-US" altLang="ja-JP" sz="1800" b="1"/>
              <a:t>model with Microsoft Excel</a:t>
            </a:r>
            <a:r>
              <a:rPr lang="en-US" altLang="ja-JP" sz="1800" b="1" baseline="0"/>
              <a:t> </a:t>
            </a:r>
            <a:r>
              <a:rPr lang="en-US" altLang="ja-JP" sz="1800" b="1"/>
              <a:t>!!</a:t>
            </a:r>
          </a:p>
          <a:p>
            <a:endParaRPr lang="en-US" altLang="ja-JP" sz="1100"/>
          </a:p>
          <a:p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🧐 </a:t>
            </a:r>
            <a:r>
              <a:rPr lang="en-US" sz="1400" b="1"/>
              <a:t>Overview</a:t>
            </a:r>
          </a:p>
          <a:p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This Excel workbook has been developed to use</a:t>
            </a:r>
            <a:r>
              <a:rPr lang="en-US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the Advanced Berkeley Comfort (ABC) model within Excel.</a:t>
            </a:r>
            <a:endParaRPr lang="en-US">
              <a:effectLst/>
            </a:endParaRPr>
          </a:p>
          <a:p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By entering measured values such as air temperature, relative humidity, and radiant temperature into the model, you can evaluate the thermal comfort of the environment.</a:t>
            </a:r>
            <a:endParaRPr lang="en-US">
              <a:effectLst/>
            </a:endParaRPr>
          </a:p>
          <a:p>
            <a:endParaRPr lang="en-US"/>
          </a:p>
          <a:p>
            <a:r>
              <a:rPr lang="en-US" sz="1400" b="1"/>
              <a:t>⚠️</a:t>
            </a:r>
            <a:r>
              <a:rPr lang="ja-JP" altLang="en-US" sz="1400" b="1" baseline="0"/>
              <a:t> </a:t>
            </a:r>
            <a:r>
              <a:rPr lang="en-US" sz="1400" b="1"/>
              <a:t>Notes</a:t>
            </a:r>
          </a:p>
          <a:p>
            <a:r>
              <a:rPr lang="en-US"/>
              <a:t>- This sheet is integrated with the </a:t>
            </a:r>
            <a:r>
              <a:rPr lang="en-US" b="1"/>
              <a:t>ABC_toolbox</a:t>
            </a:r>
            <a:r>
              <a:rPr lang="en-US"/>
              <a:t>. Please download the toolbox from our </a:t>
            </a:r>
            <a:r>
              <a:rPr lang="en-US" b="1"/>
              <a:t>GitHub repository </a:t>
            </a:r>
            <a:r>
              <a:rPr lang="en-US"/>
              <a:t>(https://github.com/CenterForTheBuiltEnvironment/ABC_toolbox) and </a:t>
            </a: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specify the correct file path for the downloaded folder</a:t>
            </a:r>
            <a:r>
              <a:rPr lang="en-US"/>
              <a:t>. </a:t>
            </a:r>
            <a:r>
              <a:rPr lang="en-US" b="1"/>
              <a:t>The model will not run if the file path for the toolbox is incorrect.</a:t>
            </a:r>
          </a:p>
          <a:p>
            <a:r>
              <a:rPr lang="en-US"/>
              <a:t>- To</a:t>
            </a:r>
            <a:r>
              <a:rPr lang="en-US" baseline="0"/>
              <a:t> run </a:t>
            </a:r>
            <a:r>
              <a:rPr lang="en-US"/>
              <a:t>the model, </a:t>
            </a:r>
            <a:r>
              <a:rPr lang="en-US" b="1"/>
              <a:t>you must enter values into the yellow cells</a:t>
            </a:r>
            <a:r>
              <a:rPr lang="en-US"/>
              <a:t>. </a:t>
            </a:r>
            <a:r>
              <a:rPr lang="en-US" b="1"/>
              <a:t>The fields without color are optional </a:t>
            </a:r>
            <a:r>
              <a:rPr lang="en-US"/>
              <a:t>and do not necessarily need to be filled in.</a:t>
            </a:r>
          </a:p>
          <a:p>
            <a:endParaRPr lang="en-US" b="1"/>
          </a:p>
          <a:p>
            <a:r>
              <a:rPr lang="en-US" sz="1400" b="1"/>
              <a:t>📝 Sheet Descriptions</a:t>
            </a:r>
          </a:p>
          <a:p>
            <a:r>
              <a:rPr lang="en-US" b="1"/>
              <a:t>- Simulation</a:t>
            </a:r>
            <a:r>
              <a:rPr lang="en-US" b="1" baseline="0"/>
              <a:t> Information</a:t>
            </a:r>
            <a:r>
              <a:rPr lang="en-US"/>
              <a:t>: You can define all information except thermal environmental data here. The </a:t>
            </a:r>
            <a:r>
              <a:rPr lang="en-US" b="1"/>
              <a:t>"Simulate" button on this sheet allows you to execute the model</a:t>
            </a:r>
            <a:r>
              <a:rPr lang="en-US"/>
              <a:t>.</a:t>
            </a:r>
          </a:p>
          <a:p>
            <a:r>
              <a:rPr lang="en-US" b="1"/>
              <a:t>- Thermal Environment</a:t>
            </a:r>
            <a:r>
              <a:rPr lang="en-US"/>
              <a:t>: This sheet is for defining thermal environment information.</a:t>
            </a:r>
          </a:p>
          <a:p>
            <a:r>
              <a:rPr lang="en-US" b="1"/>
              <a:t>- Results</a:t>
            </a:r>
            <a:r>
              <a:rPr lang="en-US"/>
              <a:t>: The output results of the ABC model will be written here.</a:t>
            </a:r>
          </a:p>
          <a:p>
            <a:r>
              <a:rPr lang="en-US" b="1"/>
              <a:t>- Clothing Reference</a:t>
            </a:r>
            <a:r>
              <a:rPr lang="en-US"/>
              <a:t>: This sheet contains past clothing insulation data. Use it as a reference for entering clothing insulation values in the SimInfo sheet.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Change</a:t>
            </a:r>
            <a:r>
              <a:rPr lang="en-US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Log</a:t>
            </a:r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For</a:t>
            </a:r>
            <a:r>
              <a:rPr lang="en-US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version control.</a:t>
            </a:r>
            <a:endParaRPr lang="en-US"/>
          </a:p>
          <a:p>
            <a:endParaRPr lang="en-US" b="1"/>
          </a:p>
          <a:p>
            <a:r>
              <a:rPr lang="en-US" sz="1400" b="1"/>
              <a:t>🔍 Additional Information</a:t>
            </a:r>
          </a:p>
          <a:p>
            <a:r>
              <a:rPr lang="en-US"/>
              <a:t>- The same calculations can also be performed through a web interface (https://abcweb-384255928646.us-west1.run.app/). </a:t>
            </a:r>
          </a:p>
          <a:p>
            <a:r>
              <a:rPr lang="en-US"/>
              <a:t>- For detailed information about the model, please refer to the official documentation</a:t>
            </a:r>
            <a:r>
              <a:rPr lang="ja-JP" altLang="en-US" baseline="0"/>
              <a:t> </a:t>
            </a:r>
            <a:r>
              <a:rPr lang="en-US" altLang="ja-JP" baseline="0"/>
              <a:t>(https://cbe-berkeley.gitbook.io/advanced-berkeley-comfort-abc-model)</a:t>
            </a:r>
            <a:r>
              <a:rPr lang="en-US"/>
              <a:t>.</a:t>
            </a:r>
          </a:p>
          <a:p>
            <a:endParaRPr lang="en-US" altLang="ja-JP" sz="1100"/>
          </a:p>
        </xdr:txBody>
      </xdr:sp>
      <xdr:pic>
        <xdr:nvPicPr>
          <xdr:cNvPr id="9" name="logo" descr="Center for the Built Environment">
            <a:extLst>
              <a:ext uri="{FF2B5EF4-FFF2-40B4-BE49-F238E27FC236}">
                <a16:creationId xmlns:a16="http://schemas.microsoft.com/office/drawing/2014/main" id="{D534F2A0-0469-5819-F17D-6A8770A0F5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96770" y="4766829"/>
            <a:ext cx="3809572" cy="13707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</xdr:row>
          <xdr:rowOff>142875</xdr:rowOff>
        </xdr:from>
        <xdr:to>
          <xdr:col>4</xdr:col>
          <xdr:colOff>2405063</xdr:colOff>
          <xdr:row>4</xdr:row>
          <xdr:rowOff>128588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2595563</xdr:colOff>
          <xdr:row>1</xdr:row>
          <xdr:rowOff>138113</xdr:rowOff>
        </xdr:from>
        <xdr:to>
          <xdr:col>4</xdr:col>
          <xdr:colOff>4391025</xdr:colOff>
          <xdr:row>4</xdr:row>
          <xdr:rowOff>123825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input JSON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964107</xdr:colOff>
      <xdr:row>58</xdr:row>
      <xdr:rowOff>21898</xdr:rowOff>
    </xdr:from>
    <xdr:to>
      <xdr:col>6</xdr:col>
      <xdr:colOff>1346639</xdr:colOff>
      <xdr:row>58</xdr:row>
      <xdr:rowOff>961973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C69C3EB5-2A1D-4314-BD0F-E2278AEF4E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056" t="9257" r="26063" b="12421"/>
        <a:stretch/>
      </xdr:blipFill>
      <xdr:spPr>
        <a:xfrm>
          <a:off x="10989170" y="29682748"/>
          <a:ext cx="0" cy="730525"/>
        </a:xfrm>
        <a:prstGeom prst="rect">
          <a:avLst/>
        </a:prstGeom>
      </xdr:spPr>
    </xdr:pic>
    <xdr:clientData/>
  </xdr:twoCellAnchor>
  <xdr:twoCellAnchor>
    <xdr:from>
      <xdr:col>6</xdr:col>
      <xdr:colOff>963450</xdr:colOff>
      <xdr:row>57</xdr:row>
      <xdr:rowOff>32846</xdr:rowOff>
    </xdr:from>
    <xdr:to>
      <xdr:col>6</xdr:col>
      <xdr:colOff>1379483</xdr:colOff>
      <xdr:row>57</xdr:row>
      <xdr:rowOff>978379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4A7928DD-1E20-4CBF-B73D-D443D155CF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190" t="18782" r="28124" b="5958"/>
        <a:stretch/>
      </xdr:blipFill>
      <xdr:spPr>
        <a:xfrm>
          <a:off x="10988513" y="28941221"/>
          <a:ext cx="0" cy="72169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kihisa Nomoto" id="{A25FA537-C296-4375-B935-57E23A59648D}" userId="Akihisa Nomot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8" dT="2024-10-21T05:47:07.20" personId="{A25FA537-C296-4375-B935-57E23A59648D}" id="{3F8E3EAB-1C52-496B-A651-814DE8E79EAF}">
    <text>The default values (columns D) are set if you do not define the optional input values.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2" dT="2024-10-22T00:59:21.31" personId="{A25FA537-C296-4375-B935-57E23A59648D}" id="{7857FEBB-9F6B-437A-9E22-7E032DEB9C8D}">
    <text>In this sheet, clothing insulation for the Neck is assumed to be the same as for the Head.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8BA0-8A27-4A1B-9AC0-8246946B513D}">
  <sheetPr codeName="Sheet4">
    <tabColor rgb="FFFFC000"/>
  </sheetPr>
  <dimension ref="A1"/>
  <sheetViews>
    <sheetView zoomScaleNormal="100" workbookViewId="0">
      <selection activeCell="S11" sqref="S11"/>
    </sheetView>
  </sheetViews>
  <sheetFormatPr defaultRowHeight="14.25"/>
  <cols>
    <col min="1" max="1" width="2.863281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6778-AC56-47E6-8D0E-51CFA9DE673D}">
  <sheetPr codeName="Sheet1">
    <tabColor theme="9" tint="0.79998168889431442"/>
  </sheetPr>
  <dimension ref="B1:E61"/>
  <sheetViews>
    <sheetView zoomScale="115" zoomScaleNormal="115" workbookViewId="0">
      <selection activeCell="D11" sqref="D11"/>
    </sheetView>
  </sheetViews>
  <sheetFormatPr defaultColWidth="14.19921875" defaultRowHeight="14.25"/>
  <cols>
    <col min="1" max="1" width="4.46484375" style="11" customWidth="1"/>
    <col min="2" max="2" width="25.3984375" style="11" bestFit="1" customWidth="1"/>
    <col min="3" max="3" width="23.6640625" style="11" bestFit="1" customWidth="1"/>
    <col min="4" max="4" width="31.53125" style="11" bestFit="1" customWidth="1"/>
    <col min="5" max="5" width="71.86328125" style="11" customWidth="1"/>
    <col min="6" max="6" width="2.53125" style="11" customWidth="1"/>
    <col min="7" max="7" width="25.3984375" style="11" bestFit="1" customWidth="1"/>
    <col min="8" max="8" width="41" style="11" customWidth="1"/>
    <col min="9" max="16384" width="14.19921875" style="11"/>
  </cols>
  <sheetData>
    <row r="1" spans="2:5" ht="14.65" thickBot="1"/>
    <row r="2" spans="2:5" ht="14.65" thickBot="1">
      <c r="B2" s="37"/>
      <c r="C2" s="38" t="s">
        <v>113</v>
      </c>
    </row>
    <row r="3" spans="2:5" ht="14.65" thickBot="1">
      <c r="B3" s="26"/>
      <c r="C3" s="39" t="s">
        <v>111</v>
      </c>
    </row>
    <row r="5" spans="2:5" ht="14.65" thickBot="1"/>
    <row r="6" spans="2:5" ht="28.9" thickBot="1">
      <c r="B6" s="40" t="s">
        <v>112</v>
      </c>
      <c r="C6" s="41" t="s">
        <v>116</v>
      </c>
    </row>
    <row r="7" spans="2:5" ht="14.65" thickBot="1">
      <c r="B7" s="27"/>
      <c r="C7" s="27"/>
      <c r="D7" s="27"/>
      <c r="E7" s="27"/>
    </row>
    <row r="8" spans="2:5">
      <c r="B8" s="35" t="s">
        <v>78</v>
      </c>
      <c r="C8" s="36" t="s">
        <v>91</v>
      </c>
      <c r="D8" s="35" t="s">
        <v>90</v>
      </c>
      <c r="E8" s="35" t="s">
        <v>99</v>
      </c>
    </row>
    <row r="9" spans="2:5">
      <c r="B9" s="18" t="s">
        <v>46</v>
      </c>
      <c r="D9" s="11">
        <v>1</v>
      </c>
      <c r="E9" s="11" t="s">
        <v>75</v>
      </c>
    </row>
    <row r="10" spans="2:5">
      <c r="B10" s="18" t="s">
        <v>47</v>
      </c>
      <c r="D10" s="11" t="s">
        <v>0</v>
      </c>
      <c r="E10" s="11" t="s">
        <v>76</v>
      </c>
    </row>
    <row r="11" spans="2:5">
      <c r="B11" s="18" t="s">
        <v>7</v>
      </c>
      <c r="D11" s="11" t="s">
        <v>1</v>
      </c>
      <c r="E11" s="11" t="s">
        <v>77</v>
      </c>
    </row>
    <row r="12" spans="2:5" ht="14.65" thickBot="1">
      <c r="B12" s="34" t="s">
        <v>74</v>
      </c>
      <c r="C12" s="27"/>
      <c r="D12" s="27">
        <v>60</v>
      </c>
      <c r="E12" s="34"/>
    </row>
    <row r="13" spans="2:5" ht="14.65" thickBot="1">
      <c r="B13" s="27"/>
      <c r="C13" s="27"/>
      <c r="D13" s="27"/>
      <c r="E13" s="27"/>
    </row>
    <row r="14" spans="2:5">
      <c r="B14" s="30" t="s">
        <v>48</v>
      </c>
      <c r="C14" s="31"/>
      <c r="D14" s="31"/>
      <c r="E14" s="33" t="s">
        <v>89</v>
      </c>
    </row>
    <row r="15" spans="2:5">
      <c r="B15" s="11" t="s">
        <v>49</v>
      </c>
      <c r="D15" s="11">
        <v>25</v>
      </c>
      <c r="E15" s="11" t="s">
        <v>79</v>
      </c>
    </row>
    <row r="16" spans="2:5">
      <c r="B16" s="11" t="s">
        <v>50</v>
      </c>
      <c r="D16" s="11">
        <v>0.13</v>
      </c>
      <c r="E16" s="11" t="s">
        <v>83</v>
      </c>
    </row>
    <row r="17" spans="2:5">
      <c r="B17" s="11" t="s">
        <v>51</v>
      </c>
      <c r="D17" s="11" t="s">
        <v>59</v>
      </c>
      <c r="E17" s="11" t="s">
        <v>80</v>
      </c>
    </row>
    <row r="18" spans="2:5">
      <c r="B18" s="11" t="s">
        <v>52</v>
      </c>
      <c r="D18" s="11">
        <v>1.72</v>
      </c>
      <c r="E18" s="11" t="s">
        <v>81</v>
      </c>
    </row>
    <row r="19" spans="2:5">
      <c r="B19" s="11" t="s">
        <v>53</v>
      </c>
      <c r="D19" s="11">
        <v>74.400000000000006</v>
      </c>
      <c r="E19" s="11" t="s">
        <v>82</v>
      </c>
    </row>
    <row r="20" spans="2:5">
      <c r="B20" s="11" t="s">
        <v>54</v>
      </c>
      <c r="D20" s="11" t="s">
        <v>60</v>
      </c>
      <c r="E20" s="11" t="s">
        <v>84</v>
      </c>
    </row>
    <row r="21" spans="2:5">
      <c r="B21" s="11" t="s">
        <v>55</v>
      </c>
      <c r="D21" s="11">
        <v>1</v>
      </c>
      <c r="E21" s="11" t="s">
        <v>86</v>
      </c>
    </row>
    <row r="22" spans="2:5" ht="14.65" customHeight="1">
      <c r="B22" s="11" t="s">
        <v>56</v>
      </c>
      <c r="D22" s="11">
        <v>1</v>
      </c>
      <c r="E22" s="11" t="s">
        <v>85</v>
      </c>
    </row>
    <row r="23" spans="2:5">
      <c r="B23" s="11" t="s">
        <v>57</v>
      </c>
      <c r="D23" s="11">
        <v>1</v>
      </c>
      <c r="E23" s="11" t="s">
        <v>87</v>
      </c>
    </row>
    <row r="24" spans="2:5" ht="14.65" thickBot="1">
      <c r="B24" s="27" t="s">
        <v>58</v>
      </c>
      <c r="C24" s="27"/>
      <c r="D24" s="27">
        <v>1</v>
      </c>
      <c r="E24" s="27" t="s">
        <v>88</v>
      </c>
    </row>
    <row r="25" spans="2:5" ht="14.65" thickBot="1">
      <c r="B25" s="27"/>
      <c r="C25" s="27"/>
      <c r="D25" s="27"/>
      <c r="E25" s="27"/>
    </row>
    <row r="26" spans="2:5">
      <c r="B26" s="30" t="s">
        <v>61</v>
      </c>
      <c r="C26" s="31"/>
      <c r="D26" s="31"/>
      <c r="E26" s="30"/>
    </row>
    <row r="27" spans="2:5">
      <c r="B27" s="11" t="s">
        <v>62</v>
      </c>
      <c r="C27" s="11" t="s">
        <v>95</v>
      </c>
      <c r="D27" s="11" t="s">
        <v>20</v>
      </c>
      <c r="E27" s="11" t="s">
        <v>100</v>
      </c>
    </row>
    <row r="28" spans="2:5">
      <c r="B28" s="11" t="s">
        <v>7</v>
      </c>
      <c r="C28" s="11" t="s">
        <v>92</v>
      </c>
      <c r="D28" s="11" t="s">
        <v>21</v>
      </c>
      <c r="E28" s="11" t="s">
        <v>101</v>
      </c>
    </row>
    <row r="29" spans="2:5">
      <c r="B29" s="23" t="s">
        <v>63</v>
      </c>
      <c r="C29" s="24"/>
      <c r="D29" s="24"/>
      <c r="E29" s="24" t="s">
        <v>102</v>
      </c>
    </row>
    <row r="30" spans="2:5">
      <c r="B30" s="11" t="s">
        <v>64</v>
      </c>
      <c r="C30" s="19" t="s">
        <v>45</v>
      </c>
      <c r="D30" s="19" t="s">
        <v>65</v>
      </c>
    </row>
    <row r="31" spans="2:5">
      <c r="B31" s="20" t="s">
        <v>2</v>
      </c>
      <c r="C31" s="22">
        <v>0.2</v>
      </c>
      <c r="D31" s="21">
        <f>IF(C31&lt;=0.5, 1+C31*0.2, 1.05+C31*0.1)</f>
        <v>1.04</v>
      </c>
      <c r="E31" s="20" t="str">
        <f>B31 &amp; " " &amp;"clothing insulation and clothing area factor"</f>
        <v>Head clothing insulation and clothing area factor</v>
      </c>
    </row>
    <row r="32" spans="2:5">
      <c r="B32" s="20" t="s">
        <v>3</v>
      </c>
      <c r="C32" s="22">
        <v>0.21</v>
      </c>
      <c r="D32" s="21">
        <f t="shared" ref="D32:D47" si="0">IF(C32&lt;=0.5, 1+C32*0.2, 1.05+C32*0.1)</f>
        <v>1.042</v>
      </c>
      <c r="E32" s="20" t="str">
        <f t="shared" ref="E32:E47" si="1">B32 &amp; " " &amp;"clothing insulation and clothing area factor"</f>
        <v>Neck clothing insulation and clothing area factor</v>
      </c>
    </row>
    <row r="33" spans="2:5">
      <c r="B33" s="20" t="s">
        <v>4</v>
      </c>
      <c r="C33" s="22">
        <v>0.22</v>
      </c>
      <c r="D33" s="21">
        <f t="shared" si="0"/>
        <v>1.044</v>
      </c>
      <c r="E33" s="20" t="str">
        <f t="shared" si="1"/>
        <v>Chest clothing insulation and clothing area factor</v>
      </c>
    </row>
    <row r="34" spans="2:5">
      <c r="B34" s="20" t="s">
        <v>5</v>
      </c>
      <c r="C34" s="22">
        <v>0.23</v>
      </c>
      <c r="D34" s="21">
        <f t="shared" si="0"/>
        <v>1.046</v>
      </c>
      <c r="E34" s="20" t="str">
        <f t="shared" si="1"/>
        <v>Back clothing insulation and clothing area factor</v>
      </c>
    </row>
    <row r="35" spans="2:5">
      <c r="B35" s="20" t="s">
        <v>6</v>
      </c>
      <c r="C35" s="22">
        <v>0.24</v>
      </c>
      <c r="D35" s="21">
        <f t="shared" si="0"/>
        <v>1.048</v>
      </c>
      <c r="E35" s="20" t="str">
        <f t="shared" si="1"/>
        <v>Pelvis clothing insulation and clothing area factor</v>
      </c>
    </row>
    <row r="36" spans="2:5">
      <c r="B36" s="20" t="s">
        <v>8</v>
      </c>
      <c r="C36" s="22">
        <v>0.25</v>
      </c>
      <c r="D36" s="21">
        <f t="shared" si="0"/>
        <v>1.05</v>
      </c>
      <c r="E36" s="20" t="str">
        <f t="shared" si="1"/>
        <v>Left Upper Arm clothing insulation and clothing area factor</v>
      </c>
    </row>
    <row r="37" spans="2:5">
      <c r="B37" s="20" t="s">
        <v>9</v>
      </c>
      <c r="C37" s="22">
        <v>0.26</v>
      </c>
      <c r="D37" s="21">
        <f t="shared" si="0"/>
        <v>1.052</v>
      </c>
      <c r="E37" s="20" t="str">
        <f t="shared" si="1"/>
        <v>Right Upper Arm clothing insulation and clothing area factor</v>
      </c>
    </row>
    <row r="38" spans="2:5">
      <c r="B38" s="20" t="s">
        <v>10</v>
      </c>
      <c r="C38" s="22">
        <v>0.27</v>
      </c>
      <c r="D38" s="21">
        <f t="shared" si="0"/>
        <v>1.054</v>
      </c>
      <c r="E38" s="20" t="str">
        <f t="shared" si="1"/>
        <v>Left Lower Arm clothing insulation and clothing area factor</v>
      </c>
    </row>
    <row r="39" spans="2:5" ht="14.25" customHeight="1">
      <c r="B39" s="20" t="s">
        <v>11</v>
      </c>
      <c r="C39" s="22">
        <v>0.28000000000000003</v>
      </c>
      <c r="D39" s="21">
        <f t="shared" si="0"/>
        <v>1.056</v>
      </c>
      <c r="E39" s="20" t="str">
        <f t="shared" si="1"/>
        <v>Right Lower Arm clothing insulation and clothing area factor</v>
      </c>
    </row>
    <row r="40" spans="2:5">
      <c r="B40" s="20" t="s">
        <v>12</v>
      </c>
      <c r="C40" s="22">
        <v>0.28999999999999998</v>
      </c>
      <c r="D40" s="21">
        <f t="shared" si="0"/>
        <v>1.0580000000000001</v>
      </c>
      <c r="E40" s="20" t="str">
        <f t="shared" si="1"/>
        <v>Left Hand clothing insulation and clothing area factor</v>
      </c>
    </row>
    <row r="41" spans="2:5">
      <c r="B41" s="20" t="s">
        <v>13</v>
      </c>
      <c r="C41" s="22">
        <v>0.3</v>
      </c>
      <c r="D41" s="21">
        <f t="shared" si="0"/>
        <v>1.06</v>
      </c>
      <c r="E41" s="20" t="str">
        <f t="shared" si="1"/>
        <v>Right Hand clothing insulation and clothing area factor</v>
      </c>
    </row>
    <row r="42" spans="2:5">
      <c r="B42" s="20" t="s">
        <v>14</v>
      </c>
      <c r="C42" s="22">
        <v>0.31</v>
      </c>
      <c r="D42" s="21">
        <f t="shared" si="0"/>
        <v>1.0620000000000001</v>
      </c>
      <c r="E42" s="20" t="str">
        <f t="shared" si="1"/>
        <v>Left Thigh clothing insulation and clothing area factor</v>
      </c>
    </row>
    <row r="43" spans="2:5">
      <c r="B43" s="20" t="s">
        <v>15</v>
      </c>
      <c r="C43" s="22">
        <v>0.32</v>
      </c>
      <c r="D43" s="21">
        <f t="shared" si="0"/>
        <v>1.0640000000000001</v>
      </c>
      <c r="E43" s="20" t="str">
        <f t="shared" si="1"/>
        <v>Right Thigh clothing insulation and clothing area factor</v>
      </c>
    </row>
    <row r="44" spans="2:5">
      <c r="B44" s="20" t="s">
        <v>16</v>
      </c>
      <c r="C44" s="22">
        <v>0.33</v>
      </c>
      <c r="D44" s="21">
        <f t="shared" si="0"/>
        <v>1.0660000000000001</v>
      </c>
      <c r="E44" s="20" t="str">
        <f t="shared" si="1"/>
        <v>Left Lower Leg clothing insulation and clothing area factor</v>
      </c>
    </row>
    <row r="45" spans="2:5">
      <c r="B45" s="20" t="s">
        <v>17</v>
      </c>
      <c r="C45" s="22">
        <v>0.34</v>
      </c>
      <c r="D45" s="21">
        <f t="shared" si="0"/>
        <v>1.0680000000000001</v>
      </c>
      <c r="E45" s="20" t="str">
        <f t="shared" si="1"/>
        <v>Right Lower Leg clothing insulation and clothing area factor</v>
      </c>
    </row>
    <row r="46" spans="2:5">
      <c r="B46" s="20" t="s">
        <v>18</v>
      </c>
      <c r="C46" s="22">
        <v>0.35</v>
      </c>
      <c r="D46" s="21">
        <f t="shared" si="0"/>
        <v>1.07</v>
      </c>
      <c r="E46" s="20" t="str">
        <f t="shared" si="1"/>
        <v>Left Foot clothing insulation and clothing area factor</v>
      </c>
    </row>
    <row r="47" spans="2:5" ht="14.65" thickBot="1">
      <c r="B47" s="32" t="s">
        <v>19</v>
      </c>
      <c r="C47" s="28">
        <v>0.36</v>
      </c>
      <c r="D47" s="29">
        <f t="shared" si="0"/>
        <v>1.0720000000000001</v>
      </c>
      <c r="E47" s="32" t="str">
        <f t="shared" si="1"/>
        <v>Right Foot clothing insulation and clothing area factor</v>
      </c>
    </row>
    <row r="48" spans="2:5" ht="14.65" thickBot="1">
      <c r="B48" s="27"/>
      <c r="C48" s="27"/>
      <c r="D48" s="27"/>
      <c r="E48" s="27"/>
    </row>
    <row r="49" spans="2:5">
      <c r="B49" s="30" t="s">
        <v>66</v>
      </c>
      <c r="C49" s="31"/>
      <c r="D49" s="31"/>
      <c r="E49" s="31" t="s">
        <v>103</v>
      </c>
    </row>
    <row r="50" spans="2:5">
      <c r="B50" s="11" t="s">
        <v>67</v>
      </c>
      <c r="D50" s="11" t="b">
        <v>0</v>
      </c>
      <c r="E50" s="11" t="s">
        <v>104</v>
      </c>
    </row>
    <row r="51" spans="2:5">
      <c r="B51" s="11" t="s">
        <v>68</v>
      </c>
      <c r="D51" s="11" t="b">
        <v>0</v>
      </c>
      <c r="E51" s="11" t="s">
        <v>105</v>
      </c>
    </row>
    <row r="52" spans="2:5">
      <c r="B52" s="11" t="s">
        <v>69</v>
      </c>
      <c r="D52" s="11" t="b">
        <v>0</v>
      </c>
      <c r="E52" s="11" t="s">
        <v>106</v>
      </c>
    </row>
    <row r="53" spans="2:5">
      <c r="B53" s="11" t="s">
        <v>70</v>
      </c>
      <c r="D53" s="11" t="b">
        <v>0</v>
      </c>
      <c r="E53" s="11" t="s">
        <v>107</v>
      </c>
    </row>
    <row r="54" spans="2:5">
      <c r="B54" s="11" t="s">
        <v>71</v>
      </c>
      <c r="D54" s="11" t="b">
        <v>0</v>
      </c>
      <c r="E54" s="11" t="s">
        <v>108</v>
      </c>
    </row>
    <row r="55" spans="2:5">
      <c r="B55" s="11" t="s">
        <v>72</v>
      </c>
      <c r="D55" s="11" t="b">
        <v>0</v>
      </c>
      <c r="E55" s="11" t="s">
        <v>109</v>
      </c>
    </row>
    <row r="56" spans="2:5" ht="14.65" thickBot="1">
      <c r="B56" s="27" t="s">
        <v>73</v>
      </c>
      <c r="C56" s="27"/>
      <c r="D56" s="27" t="b">
        <v>0</v>
      </c>
      <c r="E56" s="27" t="s">
        <v>110</v>
      </c>
    </row>
    <row r="61" spans="2:5" ht="14.25" customHeight="1"/>
  </sheetData>
  <dataValidations count="3">
    <dataValidation type="list" allowBlank="1" showInputMessage="1" showErrorMessage="1" promptTitle="Gender input" prompt="Please select either &quot;male&quot; or &quot;female&quot;." sqref="C17" xr:uid="{7EDC8B06-8DEB-4856-94CC-B42D0963DCCF}">
      <formula1>"male,female"</formula1>
    </dataValidation>
    <dataValidation type="list" allowBlank="1" showInputMessage="1" showErrorMessage="1" promptTitle="Skin color input" prompt="Please select either &quot;white&quot;, &quot;brown&quot; or &quot;black&quot;." sqref="C20" xr:uid="{9F319D99-E05C-4B1A-8597-99B3AF850AE8}">
      <formula1>"white, brown, black"</formula1>
    </dataValidation>
    <dataValidation type="list" allowBlank="1" showInputMessage="1" showErrorMessage="1" sqref="C50:C56" xr:uid="{50CF39F0-F116-475E-8B53-BF5B8576AA91}">
      <formula1>"TRUE,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defaultSize="0" print="0" autoFill="0" autoPict="0" macro="[0]!RunMainScript_Click">
                <anchor moveWithCells="1" sizeWithCells="1">
                  <from>
                    <xdr:col>4</xdr:col>
                    <xdr:colOff>609600</xdr:colOff>
                    <xdr:row>1</xdr:row>
                    <xdr:rowOff>142875</xdr:rowOff>
                  </from>
                  <to>
                    <xdr:col>4</xdr:col>
                    <xdr:colOff>2405063</xdr:colOff>
                    <xdr:row>4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RunMainScript_Click">
                <anchor moveWithCells="1" sizeWithCells="1">
                  <from>
                    <xdr:col>4</xdr:col>
                    <xdr:colOff>2595563</xdr:colOff>
                    <xdr:row>1</xdr:row>
                    <xdr:rowOff>138113</xdr:rowOff>
                  </from>
                  <to>
                    <xdr:col>4</xdr:col>
                    <xdr:colOff>4391025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41596-8E90-46EB-AB58-834DDE3D2B7D}">
  <sheetPr codeName="Sheet2">
    <tabColor theme="9" tint="0.79998168889431442"/>
  </sheetPr>
  <dimension ref="A1:CO33"/>
  <sheetViews>
    <sheetView zoomScale="115" zoomScaleNormal="115"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S11" sqref="S11"/>
    </sheetView>
  </sheetViews>
  <sheetFormatPr defaultColWidth="6.86328125" defaultRowHeight="14.25"/>
  <cols>
    <col min="1" max="1" width="13.53125" bestFit="1" customWidth="1"/>
    <col min="2" max="2" width="8.59765625" bestFit="1" customWidth="1"/>
    <col min="3" max="3" width="7.9296875" bestFit="1" customWidth="1"/>
    <col min="4" max="4" width="9.3984375" bestFit="1" customWidth="1"/>
    <col min="5" max="5" width="5" bestFit="1" customWidth="1"/>
    <col min="6" max="6" width="15.73046875" hidden="1" customWidth="1"/>
    <col min="7" max="7" width="17.33203125" hidden="1" customWidth="1"/>
    <col min="8" max="8" width="5.6640625" bestFit="1" customWidth="1"/>
    <col min="9" max="93" width="4.86328125" customWidth="1"/>
  </cols>
  <sheetData>
    <row r="1" spans="1:93">
      <c r="A1" s="12" t="s">
        <v>96</v>
      </c>
      <c r="B1" s="12" t="s">
        <v>24</v>
      </c>
      <c r="C1" s="12" t="s">
        <v>25</v>
      </c>
      <c r="D1" s="12" t="s">
        <v>26</v>
      </c>
      <c r="E1" s="12" t="s">
        <v>27</v>
      </c>
      <c r="F1" s="12" t="s">
        <v>97</v>
      </c>
      <c r="G1" s="12" t="s">
        <v>93</v>
      </c>
      <c r="H1" s="12" t="s">
        <v>28</v>
      </c>
      <c r="I1" s="13" t="s">
        <v>29</v>
      </c>
      <c r="J1" s="1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4" t="s">
        <v>31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15" t="s">
        <v>32</v>
      </c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16" t="s">
        <v>33</v>
      </c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17" t="s">
        <v>43</v>
      </c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>
      <c r="E2" t="s">
        <v>44</v>
      </c>
      <c r="I2" s="1" t="s">
        <v>37</v>
      </c>
      <c r="J2" s="1" t="s">
        <v>30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2" t="s">
        <v>38</v>
      </c>
      <c r="AA2" s="2" t="s">
        <v>30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9" t="s">
        <v>39</v>
      </c>
      <c r="AR2" s="9" t="s">
        <v>40</v>
      </c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6" t="s">
        <v>41</v>
      </c>
      <c r="BI2" s="6" t="s">
        <v>34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3" t="s">
        <v>42</v>
      </c>
      <c r="BZ2" s="3" t="s">
        <v>35</v>
      </c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</row>
    <row r="3" spans="1:93" ht="75">
      <c r="I3" s="4" t="s">
        <v>2</v>
      </c>
      <c r="J3" s="4" t="s">
        <v>22</v>
      </c>
      <c r="K3" s="4" t="s">
        <v>4</v>
      </c>
      <c r="L3" s="4" t="s">
        <v>5</v>
      </c>
      <c r="M3" s="4" t="s">
        <v>6</v>
      </c>
      <c r="N3" s="4" t="s">
        <v>8</v>
      </c>
      <c r="O3" s="4" t="s">
        <v>9</v>
      </c>
      <c r="P3" s="4" t="s">
        <v>10</v>
      </c>
      <c r="Q3" s="4" t="s">
        <v>11</v>
      </c>
      <c r="R3" s="4" t="s">
        <v>12</v>
      </c>
      <c r="S3" s="4" t="s">
        <v>13</v>
      </c>
      <c r="T3" s="4" t="s">
        <v>14</v>
      </c>
      <c r="U3" s="4" t="s">
        <v>15</v>
      </c>
      <c r="V3" s="4" t="s">
        <v>16</v>
      </c>
      <c r="W3" s="4" t="s">
        <v>17</v>
      </c>
      <c r="X3" s="4" t="s">
        <v>18</v>
      </c>
      <c r="Y3" s="4" t="s">
        <v>19</v>
      </c>
      <c r="Z3" s="5" t="s">
        <v>2</v>
      </c>
      <c r="AA3" s="5" t="s">
        <v>22</v>
      </c>
      <c r="AB3" s="5" t="s">
        <v>4</v>
      </c>
      <c r="AC3" s="5" t="s">
        <v>5</v>
      </c>
      <c r="AD3" s="5" t="s">
        <v>6</v>
      </c>
      <c r="AE3" s="5" t="s">
        <v>8</v>
      </c>
      <c r="AF3" s="5" t="s">
        <v>9</v>
      </c>
      <c r="AG3" s="5" t="s">
        <v>10</v>
      </c>
      <c r="AH3" s="5" t="s">
        <v>11</v>
      </c>
      <c r="AI3" s="5" t="s">
        <v>12</v>
      </c>
      <c r="AJ3" s="5" t="s">
        <v>13</v>
      </c>
      <c r="AK3" s="5" t="s">
        <v>14</v>
      </c>
      <c r="AL3" s="5" t="s">
        <v>15</v>
      </c>
      <c r="AM3" s="5" t="s">
        <v>16</v>
      </c>
      <c r="AN3" s="5" t="s">
        <v>17</v>
      </c>
      <c r="AO3" s="5" t="s">
        <v>18</v>
      </c>
      <c r="AP3" s="5" t="s">
        <v>19</v>
      </c>
      <c r="AQ3" s="10" t="s">
        <v>2</v>
      </c>
      <c r="AR3" s="10" t="s">
        <v>22</v>
      </c>
      <c r="AS3" s="10" t="s">
        <v>4</v>
      </c>
      <c r="AT3" s="10" t="s">
        <v>5</v>
      </c>
      <c r="AU3" s="10" t="s">
        <v>6</v>
      </c>
      <c r="AV3" s="10" t="s">
        <v>8</v>
      </c>
      <c r="AW3" s="10" t="s">
        <v>9</v>
      </c>
      <c r="AX3" s="10" t="s">
        <v>10</v>
      </c>
      <c r="AY3" s="10" t="s">
        <v>11</v>
      </c>
      <c r="AZ3" s="10" t="s">
        <v>12</v>
      </c>
      <c r="BA3" s="10" t="s">
        <v>13</v>
      </c>
      <c r="BB3" s="10" t="s">
        <v>14</v>
      </c>
      <c r="BC3" s="10" t="s">
        <v>15</v>
      </c>
      <c r="BD3" s="10" t="s">
        <v>16</v>
      </c>
      <c r="BE3" s="10" t="s">
        <v>17</v>
      </c>
      <c r="BF3" s="10" t="s">
        <v>18</v>
      </c>
      <c r="BG3" s="10" t="s">
        <v>19</v>
      </c>
      <c r="BH3" s="7" t="s">
        <v>2</v>
      </c>
      <c r="BI3" s="7" t="s">
        <v>22</v>
      </c>
      <c r="BJ3" s="7" t="s">
        <v>4</v>
      </c>
      <c r="BK3" s="7" t="s">
        <v>5</v>
      </c>
      <c r="BL3" s="7" t="s">
        <v>6</v>
      </c>
      <c r="BM3" s="7" t="s">
        <v>8</v>
      </c>
      <c r="BN3" s="7" t="s">
        <v>9</v>
      </c>
      <c r="BO3" s="7" t="s">
        <v>10</v>
      </c>
      <c r="BP3" s="7" t="s">
        <v>11</v>
      </c>
      <c r="BQ3" s="7" t="s">
        <v>12</v>
      </c>
      <c r="BR3" s="7" t="s">
        <v>13</v>
      </c>
      <c r="BS3" s="7" t="s">
        <v>14</v>
      </c>
      <c r="BT3" s="7" t="s">
        <v>15</v>
      </c>
      <c r="BU3" s="7" t="s">
        <v>16</v>
      </c>
      <c r="BV3" s="7" t="s">
        <v>17</v>
      </c>
      <c r="BW3" s="7" t="s">
        <v>18</v>
      </c>
      <c r="BX3" s="7" t="s">
        <v>19</v>
      </c>
      <c r="BY3" s="8" t="s">
        <v>2</v>
      </c>
      <c r="BZ3" s="8" t="s">
        <v>22</v>
      </c>
      <c r="CA3" s="8" t="s">
        <v>4</v>
      </c>
      <c r="CB3" s="8" t="s">
        <v>5</v>
      </c>
      <c r="CC3" s="8" t="s">
        <v>6</v>
      </c>
      <c r="CD3" s="8" t="s">
        <v>8</v>
      </c>
      <c r="CE3" s="8" t="s">
        <v>9</v>
      </c>
      <c r="CF3" s="8" t="s">
        <v>10</v>
      </c>
      <c r="CG3" s="8" t="s">
        <v>11</v>
      </c>
      <c r="CH3" s="8" t="s">
        <v>12</v>
      </c>
      <c r="CI3" s="8" t="s">
        <v>13</v>
      </c>
      <c r="CJ3" s="8" t="s">
        <v>14</v>
      </c>
      <c r="CK3" s="8" t="s">
        <v>15</v>
      </c>
      <c r="CL3" s="8" t="s">
        <v>16</v>
      </c>
      <c r="CM3" s="8" t="s">
        <v>17</v>
      </c>
      <c r="CN3" s="8" t="s">
        <v>18</v>
      </c>
      <c r="CO3" s="8" t="s">
        <v>19</v>
      </c>
    </row>
    <row r="4" spans="1:93">
      <c r="A4" t="s">
        <v>36</v>
      </c>
      <c r="B4" s="3">
        <v>0</v>
      </c>
      <c r="C4" s="3">
        <v>1</v>
      </c>
      <c r="D4" t="s">
        <v>94</v>
      </c>
      <c r="E4" s="3">
        <v>1.3</v>
      </c>
      <c r="F4" t="s">
        <v>98</v>
      </c>
      <c r="G4" t="str">
        <f>'Simulation Information'!$C$27</f>
        <v>Summer casual</v>
      </c>
      <c r="H4" t="b">
        <v>0</v>
      </c>
      <c r="I4" s="3">
        <v>25</v>
      </c>
      <c r="J4" s="3">
        <v>25.1</v>
      </c>
      <c r="K4" s="3">
        <v>25.2</v>
      </c>
      <c r="L4" s="3">
        <v>25.3</v>
      </c>
      <c r="M4" s="3">
        <v>25.4</v>
      </c>
      <c r="N4" s="3">
        <v>25.5</v>
      </c>
      <c r="O4" s="3">
        <v>25.6</v>
      </c>
      <c r="P4" s="3">
        <v>25.7</v>
      </c>
      <c r="Q4" s="3">
        <v>25.8</v>
      </c>
      <c r="R4" s="3">
        <v>25.9</v>
      </c>
      <c r="S4" s="3">
        <v>26</v>
      </c>
      <c r="T4" s="3">
        <v>26.1</v>
      </c>
      <c r="U4" s="3">
        <v>26.2</v>
      </c>
      <c r="V4" s="3">
        <v>26.3</v>
      </c>
      <c r="W4" s="3">
        <v>26.4</v>
      </c>
      <c r="X4" s="3">
        <v>26.5</v>
      </c>
      <c r="Y4" s="3">
        <v>26.6</v>
      </c>
      <c r="Z4" s="3">
        <v>26.6</v>
      </c>
      <c r="AA4" s="3">
        <v>26.5</v>
      </c>
      <c r="AB4" s="3">
        <v>26.4</v>
      </c>
      <c r="AC4" s="3">
        <v>26.3</v>
      </c>
      <c r="AD4" s="3">
        <v>26.2</v>
      </c>
      <c r="AE4" s="3">
        <v>26.1</v>
      </c>
      <c r="AF4" s="3">
        <v>26</v>
      </c>
      <c r="AG4" s="3">
        <v>25.9</v>
      </c>
      <c r="AH4" s="3">
        <v>25.8</v>
      </c>
      <c r="AI4" s="3">
        <v>25.7</v>
      </c>
      <c r="AJ4" s="3">
        <v>25.6</v>
      </c>
      <c r="AK4" s="3">
        <v>25.5</v>
      </c>
      <c r="AL4" s="3">
        <v>25.4</v>
      </c>
      <c r="AM4" s="3">
        <v>25.3</v>
      </c>
      <c r="AN4" s="3">
        <v>25.2</v>
      </c>
      <c r="AO4" s="3">
        <v>25.1</v>
      </c>
      <c r="AP4" s="3">
        <v>25</v>
      </c>
      <c r="AQ4" s="3">
        <v>0.5</v>
      </c>
      <c r="AR4" s="3">
        <v>0.51</v>
      </c>
      <c r="AS4" s="3">
        <v>0.52</v>
      </c>
      <c r="AT4" s="3">
        <v>0.53</v>
      </c>
      <c r="AU4" s="3">
        <v>0.54</v>
      </c>
      <c r="AV4" s="3">
        <v>0.55000000000000004</v>
      </c>
      <c r="AW4" s="3">
        <v>0.56000000000000005</v>
      </c>
      <c r="AX4" s="3">
        <v>0.56999999999999995</v>
      </c>
      <c r="AY4" s="3">
        <v>0.57999999999999996</v>
      </c>
      <c r="AZ4" s="3">
        <v>0.59</v>
      </c>
      <c r="BA4" s="3">
        <v>0.6</v>
      </c>
      <c r="BB4" s="3">
        <v>0.61</v>
      </c>
      <c r="BC4" s="3">
        <v>0.62</v>
      </c>
      <c r="BD4" s="3">
        <v>0.63</v>
      </c>
      <c r="BE4" s="3">
        <v>0.64</v>
      </c>
      <c r="BF4" s="3">
        <v>0.65</v>
      </c>
      <c r="BG4" s="3">
        <v>0.66</v>
      </c>
      <c r="BH4" s="3">
        <v>0.01</v>
      </c>
      <c r="BI4" s="3">
        <v>0.02</v>
      </c>
      <c r="BJ4" s="3">
        <v>0.03</v>
      </c>
      <c r="BK4" s="3">
        <v>0.04</v>
      </c>
      <c r="BL4" s="3">
        <v>0.05</v>
      </c>
      <c r="BM4" s="3">
        <v>0.06</v>
      </c>
      <c r="BN4" s="3">
        <v>7.0000000000000007E-2</v>
      </c>
      <c r="BO4" s="3">
        <v>0.08</v>
      </c>
      <c r="BP4" s="3">
        <v>0.09</v>
      </c>
      <c r="BQ4" s="3">
        <v>0.1</v>
      </c>
      <c r="BR4" s="3">
        <v>0.11</v>
      </c>
      <c r="BS4" s="3">
        <v>0.12</v>
      </c>
      <c r="BT4" s="3">
        <v>0.13</v>
      </c>
      <c r="BU4" s="3">
        <v>0.14000000000000001</v>
      </c>
      <c r="BV4" s="3">
        <v>0.15</v>
      </c>
      <c r="BW4" s="3">
        <v>0.16</v>
      </c>
      <c r="BX4" s="3">
        <v>0.17</v>
      </c>
      <c r="BY4">
        <v>1</v>
      </c>
      <c r="BZ4">
        <v>2</v>
      </c>
      <c r="CA4">
        <v>3</v>
      </c>
      <c r="CB4">
        <v>4</v>
      </c>
      <c r="CC4">
        <v>5</v>
      </c>
      <c r="CD4">
        <v>6</v>
      </c>
      <c r="CE4">
        <v>7</v>
      </c>
      <c r="CF4">
        <v>8</v>
      </c>
      <c r="CG4">
        <v>9</v>
      </c>
      <c r="CH4">
        <v>10</v>
      </c>
      <c r="CI4">
        <v>11</v>
      </c>
      <c r="CJ4">
        <v>12</v>
      </c>
      <c r="CK4">
        <v>13</v>
      </c>
      <c r="CL4">
        <v>14</v>
      </c>
      <c r="CM4">
        <v>15</v>
      </c>
      <c r="CN4">
        <v>16</v>
      </c>
      <c r="CO4">
        <v>17</v>
      </c>
    </row>
    <row r="5" spans="1:93">
      <c r="A5" t="s">
        <v>36</v>
      </c>
      <c r="B5" s="3">
        <v>1</v>
      </c>
      <c r="C5" s="3">
        <v>2</v>
      </c>
      <c r="D5" t="s">
        <v>94</v>
      </c>
      <c r="E5" s="3">
        <v>1.3</v>
      </c>
      <c r="F5" t="s">
        <v>98</v>
      </c>
      <c r="G5" t="str">
        <f>'Simulation Information'!$C$27</f>
        <v>Summer casual</v>
      </c>
      <c r="H5" t="b">
        <v>0</v>
      </c>
      <c r="I5" s="3">
        <v>25</v>
      </c>
      <c r="J5" s="3">
        <v>25.1</v>
      </c>
      <c r="K5" s="3">
        <v>25.2</v>
      </c>
      <c r="L5" s="3">
        <v>25.3</v>
      </c>
      <c r="M5" s="3">
        <v>25.4</v>
      </c>
      <c r="N5" s="3">
        <v>25.5</v>
      </c>
      <c r="O5" s="3">
        <v>25.6</v>
      </c>
      <c r="P5" s="3">
        <v>25.7</v>
      </c>
      <c r="Q5" s="3">
        <v>25.8</v>
      </c>
      <c r="R5" s="3">
        <v>25.9</v>
      </c>
      <c r="S5" s="3">
        <v>26</v>
      </c>
      <c r="T5" s="3">
        <v>26.1</v>
      </c>
      <c r="U5" s="3">
        <v>26.2</v>
      </c>
      <c r="V5" s="3">
        <v>26.3</v>
      </c>
      <c r="W5" s="3">
        <v>26.4</v>
      </c>
      <c r="X5" s="3">
        <v>26.5</v>
      </c>
      <c r="Y5" s="3">
        <v>26.6</v>
      </c>
      <c r="Z5" s="3">
        <v>26.6</v>
      </c>
      <c r="AA5" s="3">
        <v>26.5</v>
      </c>
      <c r="AB5" s="3">
        <v>26.4</v>
      </c>
      <c r="AC5" s="3">
        <v>26.3</v>
      </c>
      <c r="AD5" s="3">
        <v>26.2</v>
      </c>
      <c r="AE5" s="3">
        <v>26.1</v>
      </c>
      <c r="AF5" s="3">
        <v>26</v>
      </c>
      <c r="AG5" s="3">
        <v>25.9</v>
      </c>
      <c r="AH5" s="3">
        <v>25.8</v>
      </c>
      <c r="AI5" s="3">
        <v>25.7</v>
      </c>
      <c r="AJ5" s="3">
        <v>25.6</v>
      </c>
      <c r="AK5" s="3">
        <v>25.5</v>
      </c>
      <c r="AL5" s="3">
        <v>25.4</v>
      </c>
      <c r="AM5" s="3">
        <v>25.3</v>
      </c>
      <c r="AN5" s="3">
        <v>25.2</v>
      </c>
      <c r="AO5" s="3">
        <v>25.1</v>
      </c>
      <c r="AP5" s="3">
        <v>25</v>
      </c>
      <c r="AQ5" s="3">
        <v>0.5</v>
      </c>
      <c r="AR5" s="3">
        <v>0.51</v>
      </c>
      <c r="AS5" s="3">
        <v>0.52</v>
      </c>
      <c r="AT5" s="3">
        <v>0.53</v>
      </c>
      <c r="AU5" s="3">
        <v>0.54</v>
      </c>
      <c r="AV5" s="3">
        <v>0.55000000000000004</v>
      </c>
      <c r="AW5" s="3">
        <v>0.56000000000000005</v>
      </c>
      <c r="AX5" s="3">
        <v>0.56999999999999995</v>
      </c>
      <c r="AY5" s="3">
        <v>0.57999999999999996</v>
      </c>
      <c r="AZ5" s="3">
        <v>0.59</v>
      </c>
      <c r="BA5" s="3">
        <v>0.6</v>
      </c>
      <c r="BB5" s="3">
        <v>0.61</v>
      </c>
      <c r="BC5" s="3">
        <v>0.62</v>
      </c>
      <c r="BD5" s="3">
        <v>0.63</v>
      </c>
      <c r="BE5" s="3">
        <v>0.64</v>
      </c>
      <c r="BF5" s="3">
        <v>0.65</v>
      </c>
      <c r="BG5" s="3">
        <v>0.66</v>
      </c>
      <c r="BH5" s="3">
        <v>0.01</v>
      </c>
      <c r="BI5" s="3">
        <v>0.02</v>
      </c>
      <c r="BJ5" s="3">
        <v>0.03</v>
      </c>
      <c r="BK5" s="3">
        <v>0.04</v>
      </c>
      <c r="BL5" s="3">
        <v>0.05</v>
      </c>
      <c r="BM5" s="3">
        <v>0.06</v>
      </c>
      <c r="BN5" s="3">
        <v>7.0000000000000007E-2</v>
      </c>
      <c r="BO5" s="3">
        <v>0.08</v>
      </c>
      <c r="BP5" s="3">
        <v>0.09</v>
      </c>
      <c r="BQ5" s="3">
        <v>0.1</v>
      </c>
      <c r="BR5" s="3">
        <v>0.11</v>
      </c>
      <c r="BS5" s="3">
        <v>0.12</v>
      </c>
      <c r="BT5" s="3">
        <v>0.13</v>
      </c>
      <c r="BU5" s="3">
        <v>0.14000000000000001</v>
      </c>
      <c r="BV5" s="3">
        <v>0.15</v>
      </c>
      <c r="BW5" s="3">
        <v>0.16</v>
      </c>
      <c r="BX5" s="3">
        <v>0.17</v>
      </c>
      <c r="BY5">
        <v>1</v>
      </c>
      <c r="BZ5">
        <v>2</v>
      </c>
      <c r="CA5">
        <v>3</v>
      </c>
      <c r="CB5">
        <v>4</v>
      </c>
      <c r="CC5">
        <v>5</v>
      </c>
      <c r="CD5">
        <v>6</v>
      </c>
      <c r="CE5">
        <v>7</v>
      </c>
      <c r="CF5">
        <v>8</v>
      </c>
      <c r="CG5">
        <v>9</v>
      </c>
      <c r="CH5">
        <v>10</v>
      </c>
      <c r="CI5">
        <v>11</v>
      </c>
      <c r="CJ5">
        <v>12</v>
      </c>
      <c r="CK5">
        <v>13</v>
      </c>
      <c r="CL5">
        <v>14</v>
      </c>
      <c r="CM5">
        <v>15</v>
      </c>
      <c r="CN5">
        <v>16</v>
      </c>
      <c r="CO5">
        <v>17</v>
      </c>
    </row>
    <row r="6" spans="1:93">
      <c r="A6" t="s">
        <v>36</v>
      </c>
      <c r="B6" s="3">
        <v>2</v>
      </c>
      <c r="C6" s="3">
        <v>3</v>
      </c>
      <c r="D6" t="s">
        <v>94</v>
      </c>
      <c r="E6" s="3">
        <v>1.3</v>
      </c>
      <c r="F6" t="s">
        <v>98</v>
      </c>
      <c r="G6" t="str">
        <f>'Simulation Information'!$C$27</f>
        <v>Summer casual</v>
      </c>
      <c r="H6" t="b">
        <v>0</v>
      </c>
      <c r="I6" s="3">
        <v>25</v>
      </c>
      <c r="J6" s="3">
        <v>25.1</v>
      </c>
      <c r="K6" s="3">
        <v>25.2</v>
      </c>
      <c r="L6" s="3">
        <v>25.3</v>
      </c>
      <c r="M6" s="3">
        <v>25.4</v>
      </c>
      <c r="N6" s="3">
        <v>25.5</v>
      </c>
      <c r="O6" s="3">
        <v>25.6</v>
      </c>
      <c r="P6" s="3">
        <v>25.7</v>
      </c>
      <c r="Q6" s="3">
        <v>25.8</v>
      </c>
      <c r="R6" s="3">
        <v>25.9</v>
      </c>
      <c r="S6" s="3">
        <v>26</v>
      </c>
      <c r="T6" s="3">
        <v>26.1</v>
      </c>
      <c r="U6" s="3">
        <v>26.2</v>
      </c>
      <c r="V6" s="3">
        <v>26.3</v>
      </c>
      <c r="W6" s="3">
        <v>26.4</v>
      </c>
      <c r="X6" s="3">
        <v>26.5</v>
      </c>
      <c r="Y6" s="3">
        <v>26.6</v>
      </c>
      <c r="Z6" s="3">
        <v>26.6</v>
      </c>
      <c r="AA6" s="3">
        <v>26.5</v>
      </c>
      <c r="AB6" s="3">
        <v>26.4</v>
      </c>
      <c r="AC6" s="3">
        <v>26.3</v>
      </c>
      <c r="AD6" s="3">
        <v>26.2</v>
      </c>
      <c r="AE6" s="3">
        <v>26.1</v>
      </c>
      <c r="AF6" s="3">
        <v>26</v>
      </c>
      <c r="AG6" s="3">
        <v>25.9</v>
      </c>
      <c r="AH6" s="3">
        <v>25.8</v>
      </c>
      <c r="AI6" s="3">
        <v>25.7</v>
      </c>
      <c r="AJ6" s="3">
        <v>25.6</v>
      </c>
      <c r="AK6" s="3">
        <v>25.5</v>
      </c>
      <c r="AL6" s="3">
        <v>25.4</v>
      </c>
      <c r="AM6" s="3">
        <v>25.3</v>
      </c>
      <c r="AN6" s="3">
        <v>25.2</v>
      </c>
      <c r="AO6" s="3">
        <v>25.1</v>
      </c>
      <c r="AP6" s="3">
        <v>25</v>
      </c>
      <c r="AQ6" s="3">
        <v>0.5</v>
      </c>
      <c r="AR6" s="3">
        <v>0.51</v>
      </c>
      <c r="AS6" s="3">
        <v>0.52</v>
      </c>
      <c r="AT6" s="3">
        <v>0.53</v>
      </c>
      <c r="AU6" s="3">
        <v>0.54</v>
      </c>
      <c r="AV6" s="3">
        <v>0.55000000000000004</v>
      </c>
      <c r="AW6" s="3">
        <v>0.56000000000000005</v>
      </c>
      <c r="AX6" s="3">
        <v>0.56999999999999995</v>
      </c>
      <c r="AY6" s="3">
        <v>0.57999999999999996</v>
      </c>
      <c r="AZ6" s="3">
        <v>0.59</v>
      </c>
      <c r="BA6" s="3">
        <v>0.6</v>
      </c>
      <c r="BB6" s="3">
        <v>0.61</v>
      </c>
      <c r="BC6" s="3">
        <v>0.62</v>
      </c>
      <c r="BD6" s="3">
        <v>0.63</v>
      </c>
      <c r="BE6" s="3">
        <v>0.64</v>
      </c>
      <c r="BF6" s="3">
        <v>0.65</v>
      </c>
      <c r="BG6" s="3">
        <v>0.66</v>
      </c>
      <c r="BH6" s="3">
        <v>0.01</v>
      </c>
      <c r="BI6" s="3">
        <v>0.02</v>
      </c>
      <c r="BJ6" s="3">
        <v>0.03</v>
      </c>
      <c r="BK6" s="3">
        <v>0.04</v>
      </c>
      <c r="BL6" s="3">
        <v>0.05</v>
      </c>
      <c r="BM6" s="3">
        <v>0.06</v>
      </c>
      <c r="BN6" s="3">
        <v>7.0000000000000007E-2</v>
      </c>
      <c r="BO6" s="3">
        <v>0.08</v>
      </c>
      <c r="BP6" s="3">
        <v>0.09</v>
      </c>
      <c r="BQ6" s="3">
        <v>0.1</v>
      </c>
      <c r="BR6" s="3">
        <v>0.11</v>
      </c>
      <c r="BS6" s="3">
        <v>0.12</v>
      </c>
      <c r="BT6" s="3">
        <v>0.13</v>
      </c>
      <c r="BU6" s="3">
        <v>0.14000000000000001</v>
      </c>
      <c r="BV6" s="3">
        <v>0.15</v>
      </c>
      <c r="BW6" s="3">
        <v>0.16</v>
      </c>
      <c r="BX6" s="3">
        <v>0.17</v>
      </c>
      <c r="BY6">
        <v>1</v>
      </c>
      <c r="BZ6">
        <v>2</v>
      </c>
      <c r="CA6">
        <v>3</v>
      </c>
      <c r="CB6">
        <v>4</v>
      </c>
      <c r="CC6">
        <v>5</v>
      </c>
      <c r="CD6">
        <v>6</v>
      </c>
      <c r="CE6">
        <v>7</v>
      </c>
      <c r="CF6">
        <v>8</v>
      </c>
      <c r="CG6">
        <v>9</v>
      </c>
      <c r="CH6">
        <v>10</v>
      </c>
      <c r="CI6">
        <v>11</v>
      </c>
      <c r="CJ6">
        <v>12</v>
      </c>
      <c r="CK6">
        <v>13</v>
      </c>
      <c r="CL6">
        <v>14</v>
      </c>
      <c r="CM6">
        <v>15</v>
      </c>
      <c r="CN6">
        <v>16</v>
      </c>
      <c r="CO6">
        <v>17</v>
      </c>
    </row>
    <row r="7" spans="1:93">
      <c r="A7" t="s">
        <v>36</v>
      </c>
      <c r="B7" s="3">
        <v>3</v>
      </c>
      <c r="C7" s="3">
        <v>4</v>
      </c>
      <c r="D7" t="s">
        <v>94</v>
      </c>
      <c r="E7" s="3">
        <v>1.3</v>
      </c>
      <c r="F7" t="s">
        <v>98</v>
      </c>
      <c r="G7" t="str">
        <f>'Simulation Information'!$C$27</f>
        <v>Summer casual</v>
      </c>
      <c r="H7" t="b">
        <v>0</v>
      </c>
      <c r="I7" s="3">
        <v>25</v>
      </c>
      <c r="J7" s="3">
        <v>25.1</v>
      </c>
      <c r="K7" s="3">
        <v>25.2</v>
      </c>
      <c r="L7" s="3">
        <v>25.3</v>
      </c>
      <c r="M7" s="3">
        <v>25.4</v>
      </c>
      <c r="N7" s="3">
        <v>25.5</v>
      </c>
      <c r="O7" s="3">
        <v>25.6</v>
      </c>
      <c r="P7" s="3">
        <v>25.7</v>
      </c>
      <c r="Q7" s="3">
        <v>25.8</v>
      </c>
      <c r="R7" s="3">
        <v>25.9</v>
      </c>
      <c r="S7" s="3">
        <v>26</v>
      </c>
      <c r="T7" s="3">
        <v>26.1</v>
      </c>
      <c r="U7" s="3">
        <v>26.2</v>
      </c>
      <c r="V7" s="3">
        <v>26.3</v>
      </c>
      <c r="W7" s="3">
        <v>26.4</v>
      </c>
      <c r="X7" s="3">
        <v>26.5</v>
      </c>
      <c r="Y7" s="3">
        <v>26.6</v>
      </c>
      <c r="Z7" s="3">
        <v>26.6</v>
      </c>
      <c r="AA7" s="3">
        <v>26.5</v>
      </c>
      <c r="AB7" s="3">
        <v>26.4</v>
      </c>
      <c r="AC7" s="3">
        <v>26.3</v>
      </c>
      <c r="AD7" s="3">
        <v>26.2</v>
      </c>
      <c r="AE7" s="3">
        <v>26.1</v>
      </c>
      <c r="AF7" s="3">
        <v>26</v>
      </c>
      <c r="AG7" s="3">
        <v>25.9</v>
      </c>
      <c r="AH7" s="3">
        <v>25.8</v>
      </c>
      <c r="AI7" s="3">
        <v>25.7</v>
      </c>
      <c r="AJ7" s="3">
        <v>25.6</v>
      </c>
      <c r="AK7" s="3">
        <v>25.5</v>
      </c>
      <c r="AL7" s="3">
        <v>25.4</v>
      </c>
      <c r="AM7" s="3">
        <v>25.3</v>
      </c>
      <c r="AN7" s="3">
        <v>25.2</v>
      </c>
      <c r="AO7" s="3">
        <v>25.1</v>
      </c>
      <c r="AP7" s="3">
        <v>25</v>
      </c>
      <c r="AQ7" s="3">
        <v>0.5</v>
      </c>
      <c r="AR7" s="3">
        <v>0.51</v>
      </c>
      <c r="AS7" s="3">
        <v>0.52</v>
      </c>
      <c r="AT7" s="3">
        <v>0.53</v>
      </c>
      <c r="AU7" s="3">
        <v>0.54</v>
      </c>
      <c r="AV7" s="3">
        <v>0.55000000000000004</v>
      </c>
      <c r="AW7" s="3">
        <v>0.56000000000000005</v>
      </c>
      <c r="AX7" s="3">
        <v>0.56999999999999995</v>
      </c>
      <c r="AY7" s="3">
        <v>0.57999999999999996</v>
      </c>
      <c r="AZ7" s="3">
        <v>0.59</v>
      </c>
      <c r="BA7" s="3">
        <v>0.6</v>
      </c>
      <c r="BB7" s="3">
        <v>0.61</v>
      </c>
      <c r="BC7" s="3">
        <v>0.62</v>
      </c>
      <c r="BD7" s="3">
        <v>0.63</v>
      </c>
      <c r="BE7" s="3">
        <v>0.64</v>
      </c>
      <c r="BF7" s="3">
        <v>0.65</v>
      </c>
      <c r="BG7" s="3">
        <v>0.66</v>
      </c>
      <c r="BH7" s="3">
        <v>0.01</v>
      </c>
      <c r="BI7" s="3">
        <v>0.02</v>
      </c>
      <c r="BJ7" s="3">
        <v>0.03</v>
      </c>
      <c r="BK7" s="3">
        <v>0.04</v>
      </c>
      <c r="BL7" s="3">
        <v>0.05</v>
      </c>
      <c r="BM7" s="3">
        <v>0.06</v>
      </c>
      <c r="BN7" s="3">
        <v>7.0000000000000007E-2</v>
      </c>
      <c r="BO7" s="3">
        <v>0.08</v>
      </c>
      <c r="BP7" s="3">
        <v>0.09</v>
      </c>
      <c r="BQ7" s="3">
        <v>0.1</v>
      </c>
      <c r="BR7" s="3">
        <v>0.11</v>
      </c>
      <c r="BS7" s="3">
        <v>0.12</v>
      </c>
      <c r="BT7" s="3">
        <v>0.13</v>
      </c>
      <c r="BU7" s="3">
        <v>0.14000000000000001</v>
      </c>
      <c r="BV7" s="3">
        <v>0.15</v>
      </c>
      <c r="BW7" s="3">
        <v>0.16</v>
      </c>
      <c r="BX7" s="3">
        <v>0.17</v>
      </c>
      <c r="BY7">
        <v>1</v>
      </c>
      <c r="BZ7">
        <v>2</v>
      </c>
      <c r="CA7">
        <v>3</v>
      </c>
      <c r="CB7">
        <v>4</v>
      </c>
      <c r="CC7">
        <v>5</v>
      </c>
      <c r="CD7">
        <v>6</v>
      </c>
      <c r="CE7">
        <v>7</v>
      </c>
      <c r="CF7">
        <v>8</v>
      </c>
      <c r="CG7">
        <v>9</v>
      </c>
      <c r="CH7">
        <v>10</v>
      </c>
      <c r="CI7">
        <v>11</v>
      </c>
      <c r="CJ7">
        <v>12</v>
      </c>
      <c r="CK7">
        <v>13</v>
      </c>
      <c r="CL7">
        <v>14</v>
      </c>
      <c r="CM7">
        <v>15</v>
      </c>
      <c r="CN7">
        <v>16</v>
      </c>
      <c r="CO7">
        <v>17</v>
      </c>
    </row>
    <row r="8" spans="1:93">
      <c r="A8" t="s">
        <v>36</v>
      </c>
      <c r="B8" s="3">
        <v>4</v>
      </c>
      <c r="C8" s="3">
        <v>5</v>
      </c>
      <c r="D8" t="s">
        <v>94</v>
      </c>
      <c r="E8" s="3">
        <v>1.3</v>
      </c>
      <c r="F8" t="s">
        <v>98</v>
      </c>
      <c r="G8" t="str">
        <f>'Simulation Information'!$C$27</f>
        <v>Summer casual</v>
      </c>
      <c r="H8" t="b">
        <v>0</v>
      </c>
      <c r="I8" s="3">
        <v>25</v>
      </c>
      <c r="J8" s="3">
        <v>25.1</v>
      </c>
      <c r="K8" s="3">
        <v>25.2</v>
      </c>
      <c r="L8" s="3">
        <v>25.3</v>
      </c>
      <c r="M8" s="3">
        <v>25.4</v>
      </c>
      <c r="N8" s="3">
        <v>25.5</v>
      </c>
      <c r="O8" s="3">
        <v>25.6</v>
      </c>
      <c r="P8" s="3">
        <v>25.7</v>
      </c>
      <c r="Q8" s="3">
        <v>25.8</v>
      </c>
      <c r="R8" s="3">
        <v>25.9</v>
      </c>
      <c r="S8" s="3">
        <v>26</v>
      </c>
      <c r="T8" s="3">
        <v>26.1</v>
      </c>
      <c r="U8" s="3">
        <v>26.2</v>
      </c>
      <c r="V8" s="3">
        <v>26.3</v>
      </c>
      <c r="W8" s="3">
        <v>26.4</v>
      </c>
      <c r="X8" s="3">
        <v>26.5</v>
      </c>
      <c r="Y8" s="3">
        <v>26.6</v>
      </c>
      <c r="Z8" s="3">
        <v>26.6</v>
      </c>
      <c r="AA8" s="3">
        <v>26.5</v>
      </c>
      <c r="AB8" s="3">
        <v>26.4</v>
      </c>
      <c r="AC8" s="3">
        <v>26.3</v>
      </c>
      <c r="AD8" s="3">
        <v>26.2</v>
      </c>
      <c r="AE8" s="3">
        <v>26.1</v>
      </c>
      <c r="AF8" s="3">
        <v>26</v>
      </c>
      <c r="AG8" s="3">
        <v>25.9</v>
      </c>
      <c r="AH8" s="3">
        <v>25.8</v>
      </c>
      <c r="AI8" s="3">
        <v>25.7</v>
      </c>
      <c r="AJ8" s="3">
        <v>25.6</v>
      </c>
      <c r="AK8" s="3">
        <v>25.5</v>
      </c>
      <c r="AL8" s="3">
        <v>25.4</v>
      </c>
      <c r="AM8" s="3">
        <v>25.3</v>
      </c>
      <c r="AN8" s="3">
        <v>25.2</v>
      </c>
      <c r="AO8" s="3">
        <v>25.1</v>
      </c>
      <c r="AP8" s="3">
        <v>25</v>
      </c>
      <c r="AQ8" s="3">
        <v>0.5</v>
      </c>
      <c r="AR8" s="3">
        <v>0.51</v>
      </c>
      <c r="AS8" s="3">
        <v>0.52</v>
      </c>
      <c r="AT8" s="3">
        <v>0.53</v>
      </c>
      <c r="AU8" s="3">
        <v>0.54</v>
      </c>
      <c r="AV8" s="3">
        <v>0.55000000000000004</v>
      </c>
      <c r="AW8" s="3">
        <v>0.56000000000000005</v>
      </c>
      <c r="AX8" s="3">
        <v>0.56999999999999995</v>
      </c>
      <c r="AY8" s="3">
        <v>0.57999999999999996</v>
      </c>
      <c r="AZ8" s="3">
        <v>0.59</v>
      </c>
      <c r="BA8" s="3">
        <v>0.6</v>
      </c>
      <c r="BB8" s="3">
        <v>0.61</v>
      </c>
      <c r="BC8" s="3">
        <v>0.62</v>
      </c>
      <c r="BD8" s="3">
        <v>0.63</v>
      </c>
      <c r="BE8" s="3">
        <v>0.64</v>
      </c>
      <c r="BF8" s="3">
        <v>0.65</v>
      </c>
      <c r="BG8" s="3">
        <v>0.66</v>
      </c>
      <c r="BH8" s="3">
        <v>0.01</v>
      </c>
      <c r="BI8" s="3">
        <v>0.02</v>
      </c>
      <c r="BJ8" s="3">
        <v>0.03</v>
      </c>
      <c r="BK8" s="3">
        <v>0.04</v>
      </c>
      <c r="BL8" s="3">
        <v>0.05</v>
      </c>
      <c r="BM8" s="3">
        <v>0.06</v>
      </c>
      <c r="BN8" s="3">
        <v>7.0000000000000007E-2</v>
      </c>
      <c r="BO8" s="3">
        <v>0.08</v>
      </c>
      <c r="BP8" s="3">
        <v>0.09</v>
      </c>
      <c r="BQ8" s="3">
        <v>0.1</v>
      </c>
      <c r="BR8" s="3">
        <v>0.11</v>
      </c>
      <c r="BS8" s="3">
        <v>0.12</v>
      </c>
      <c r="BT8" s="3">
        <v>0.13</v>
      </c>
      <c r="BU8" s="3">
        <v>0.14000000000000001</v>
      </c>
      <c r="BV8" s="3">
        <v>0.15</v>
      </c>
      <c r="BW8" s="3">
        <v>0.16</v>
      </c>
      <c r="BX8" s="3">
        <v>0.17</v>
      </c>
      <c r="BY8">
        <v>1</v>
      </c>
      <c r="BZ8">
        <v>2</v>
      </c>
      <c r="CA8">
        <v>3</v>
      </c>
      <c r="CB8">
        <v>4</v>
      </c>
      <c r="CC8">
        <v>5</v>
      </c>
      <c r="CD8">
        <v>6</v>
      </c>
      <c r="CE8">
        <v>7</v>
      </c>
      <c r="CF8">
        <v>8</v>
      </c>
      <c r="CG8">
        <v>9</v>
      </c>
      <c r="CH8">
        <v>10</v>
      </c>
      <c r="CI8">
        <v>11</v>
      </c>
      <c r="CJ8">
        <v>12</v>
      </c>
      <c r="CK8">
        <v>13</v>
      </c>
      <c r="CL8">
        <v>14</v>
      </c>
      <c r="CM8">
        <v>15</v>
      </c>
      <c r="CN8">
        <v>16</v>
      </c>
      <c r="CO8">
        <v>17</v>
      </c>
    </row>
    <row r="9" spans="1:93">
      <c r="A9" t="s">
        <v>36</v>
      </c>
      <c r="B9" s="3">
        <v>5</v>
      </c>
      <c r="C9" s="3">
        <v>6</v>
      </c>
      <c r="D9" t="s">
        <v>94</v>
      </c>
      <c r="E9" s="3">
        <v>1.3</v>
      </c>
      <c r="F9" t="s">
        <v>98</v>
      </c>
      <c r="G9" t="str">
        <f>'Simulation Information'!$C$27</f>
        <v>Summer casual</v>
      </c>
      <c r="H9" t="b">
        <v>0</v>
      </c>
      <c r="I9" s="3">
        <v>25</v>
      </c>
      <c r="J9" s="3">
        <v>25.1</v>
      </c>
      <c r="K9" s="3">
        <v>25.2</v>
      </c>
      <c r="L9" s="3">
        <v>25.3</v>
      </c>
      <c r="M9" s="3">
        <v>25.4</v>
      </c>
      <c r="N9" s="3">
        <v>25.5</v>
      </c>
      <c r="O9" s="3">
        <v>25.6</v>
      </c>
      <c r="P9" s="3">
        <v>25.7</v>
      </c>
      <c r="Q9" s="3">
        <v>25.8</v>
      </c>
      <c r="R9" s="3">
        <v>25.9</v>
      </c>
      <c r="S9" s="3">
        <v>26</v>
      </c>
      <c r="T9" s="3">
        <v>26.1</v>
      </c>
      <c r="U9" s="3">
        <v>26.2</v>
      </c>
      <c r="V9" s="3">
        <v>26.3</v>
      </c>
      <c r="W9" s="3">
        <v>26.4</v>
      </c>
      <c r="X9" s="3">
        <v>26.5</v>
      </c>
      <c r="Y9" s="3">
        <v>26.6</v>
      </c>
      <c r="Z9" s="3">
        <v>26.6</v>
      </c>
      <c r="AA9" s="3">
        <v>26.5</v>
      </c>
      <c r="AB9" s="3">
        <v>26.4</v>
      </c>
      <c r="AC9" s="3">
        <v>26.3</v>
      </c>
      <c r="AD9" s="3">
        <v>26.2</v>
      </c>
      <c r="AE9" s="3">
        <v>26.1</v>
      </c>
      <c r="AF9" s="3">
        <v>26</v>
      </c>
      <c r="AG9" s="3">
        <v>25.9</v>
      </c>
      <c r="AH9" s="3">
        <v>25.8</v>
      </c>
      <c r="AI9" s="3">
        <v>25.7</v>
      </c>
      <c r="AJ9" s="3">
        <v>25.6</v>
      </c>
      <c r="AK9" s="3">
        <v>25.5</v>
      </c>
      <c r="AL9" s="3">
        <v>25.4</v>
      </c>
      <c r="AM9" s="3">
        <v>25.3</v>
      </c>
      <c r="AN9" s="3">
        <v>25.2</v>
      </c>
      <c r="AO9" s="3">
        <v>25.1</v>
      </c>
      <c r="AP9" s="3">
        <v>25</v>
      </c>
      <c r="AQ9" s="3">
        <v>0.5</v>
      </c>
      <c r="AR9" s="3">
        <v>0.51</v>
      </c>
      <c r="AS9" s="3">
        <v>0.52</v>
      </c>
      <c r="AT9" s="3">
        <v>0.53</v>
      </c>
      <c r="AU9" s="3">
        <v>0.54</v>
      </c>
      <c r="AV9" s="3">
        <v>0.55000000000000004</v>
      </c>
      <c r="AW9" s="3">
        <v>0.56000000000000005</v>
      </c>
      <c r="AX9" s="3">
        <v>0.56999999999999995</v>
      </c>
      <c r="AY9" s="3">
        <v>0.57999999999999996</v>
      </c>
      <c r="AZ9" s="3">
        <v>0.59</v>
      </c>
      <c r="BA9" s="3">
        <v>0.6</v>
      </c>
      <c r="BB9" s="3">
        <v>0.61</v>
      </c>
      <c r="BC9" s="3">
        <v>0.62</v>
      </c>
      <c r="BD9" s="3">
        <v>0.63</v>
      </c>
      <c r="BE9" s="3">
        <v>0.64</v>
      </c>
      <c r="BF9" s="3">
        <v>0.65</v>
      </c>
      <c r="BG9" s="3">
        <v>0.66</v>
      </c>
      <c r="BH9" s="3">
        <v>0.01</v>
      </c>
      <c r="BI9" s="3">
        <v>0.02</v>
      </c>
      <c r="BJ9" s="3">
        <v>0.03</v>
      </c>
      <c r="BK9" s="3">
        <v>0.04</v>
      </c>
      <c r="BL9" s="3">
        <v>0.05</v>
      </c>
      <c r="BM9" s="3">
        <v>0.06</v>
      </c>
      <c r="BN9" s="3">
        <v>7.0000000000000007E-2</v>
      </c>
      <c r="BO9" s="3">
        <v>0.08</v>
      </c>
      <c r="BP9" s="3">
        <v>0.09</v>
      </c>
      <c r="BQ9" s="3">
        <v>0.1</v>
      </c>
      <c r="BR9" s="3">
        <v>0.11</v>
      </c>
      <c r="BS9" s="3">
        <v>0.12</v>
      </c>
      <c r="BT9" s="3">
        <v>0.13</v>
      </c>
      <c r="BU9" s="3">
        <v>0.14000000000000001</v>
      </c>
      <c r="BV9" s="3">
        <v>0.15</v>
      </c>
      <c r="BW9" s="3">
        <v>0.16</v>
      </c>
      <c r="BX9" s="3">
        <v>0.17</v>
      </c>
      <c r="BY9">
        <v>1</v>
      </c>
      <c r="BZ9">
        <v>2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11</v>
      </c>
      <c r="CJ9">
        <v>12</v>
      </c>
      <c r="CK9">
        <v>13</v>
      </c>
      <c r="CL9">
        <v>14</v>
      </c>
      <c r="CM9">
        <v>15</v>
      </c>
      <c r="CN9">
        <v>16</v>
      </c>
      <c r="CO9">
        <v>17</v>
      </c>
    </row>
    <row r="10" spans="1:93">
      <c r="A10" t="s">
        <v>36</v>
      </c>
      <c r="B10" s="3">
        <v>6</v>
      </c>
      <c r="C10" s="3">
        <v>7</v>
      </c>
      <c r="D10" t="s">
        <v>94</v>
      </c>
      <c r="E10" s="3">
        <v>1.3</v>
      </c>
      <c r="F10" t="s">
        <v>98</v>
      </c>
      <c r="G10" t="str">
        <f>'Simulation Information'!$C$27</f>
        <v>Summer casual</v>
      </c>
      <c r="H10" t="b">
        <v>0</v>
      </c>
      <c r="I10" s="3">
        <v>25</v>
      </c>
      <c r="J10" s="3">
        <v>25.1</v>
      </c>
      <c r="K10" s="3">
        <v>25.2</v>
      </c>
      <c r="L10" s="3">
        <v>25.3</v>
      </c>
      <c r="M10" s="3">
        <v>25.4</v>
      </c>
      <c r="N10" s="3">
        <v>25.5</v>
      </c>
      <c r="O10" s="3">
        <v>25.6</v>
      </c>
      <c r="P10" s="3">
        <v>25.7</v>
      </c>
      <c r="Q10" s="3">
        <v>25.8</v>
      </c>
      <c r="R10" s="3">
        <v>25.9</v>
      </c>
      <c r="S10" s="3">
        <v>26</v>
      </c>
      <c r="T10" s="3">
        <v>26.1</v>
      </c>
      <c r="U10" s="3">
        <v>26.2</v>
      </c>
      <c r="V10" s="3">
        <v>26.3</v>
      </c>
      <c r="W10" s="3">
        <v>26.4</v>
      </c>
      <c r="X10" s="3">
        <v>26.5</v>
      </c>
      <c r="Y10" s="3">
        <v>26.6</v>
      </c>
      <c r="Z10" s="3">
        <v>26.6</v>
      </c>
      <c r="AA10" s="3">
        <v>26.5</v>
      </c>
      <c r="AB10" s="3">
        <v>26.4</v>
      </c>
      <c r="AC10" s="3">
        <v>26.3</v>
      </c>
      <c r="AD10" s="3">
        <v>26.2</v>
      </c>
      <c r="AE10" s="3">
        <v>26.1</v>
      </c>
      <c r="AF10" s="3">
        <v>26</v>
      </c>
      <c r="AG10" s="3">
        <v>25.9</v>
      </c>
      <c r="AH10" s="3">
        <v>25.8</v>
      </c>
      <c r="AI10" s="3">
        <v>25.7</v>
      </c>
      <c r="AJ10" s="3">
        <v>25.6</v>
      </c>
      <c r="AK10" s="3">
        <v>25.5</v>
      </c>
      <c r="AL10" s="3">
        <v>25.4</v>
      </c>
      <c r="AM10" s="3">
        <v>25.3</v>
      </c>
      <c r="AN10" s="3">
        <v>25.2</v>
      </c>
      <c r="AO10" s="3">
        <v>25.1</v>
      </c>
      <c r="AP10" s="3">
        <v>25</v>
      </c>
      <c r="AQ10" s="3">
        <v>0.5</v>
      </c>
      <c r="AR10" s="3">
        <v>0.51</v>
      </c>
      <c r="AS10" s="3">
        <v>0.52</v>
      </c>
      <c r="AT10" s="3">
        <v>0.53</v>
      </c>
      <c r="AU10" s="3">
        <v>0.54</v>
      </c>
      <c r="AV10" s="3">
        <v>0.55000000000000004</v>
      </c>
      <c r="AW10" s="3">
        <v>0.56000000000000005</v>
      </c>
      <c r="AX10" s="3">
        <v>0.56999999999999995</v>
      </c>
      <c r="AY10" s="3">
        <v>0.57999999999999996</v>
      </c>
      <c r="AZ10" s="3">
        <v>0.59</v>
      </c>
      <c r="BA10" s="3">
        <v>0.6</v>
      </c>
      <c r="BB10" s="3">
        <v>0.61</v>
      </c>
      <c r="BC10" s="3">
        <v>0.62</v>
      </c>
      <c r="BD10" s="3">
        <v>0.63</v>
      </c>
      <c r="BE10" s="3">
        <v>0.64</v>
      </c>
      <c r="BF10" s="3">
        <v>0.65</v>
      </c>
      <c r="BG10" s="3">
        <v>0.66</v>
      </c>
      <c r="BH10" s="3">
        <v>0.01</v>
      </c>
      <c r="BI10" s="3">
        <v>0.02</v>
      </c>
      <c r="BJ10" s="3">
        <v>0.03</v>
      </c>
      <c r="BK10" s="3">
        <v>0.04</v>
      </c>
      <c r="BL10" s="3">
        <v>0.05</v>
      </c>
      <c r="BM10" s="3">
        <v>0.06</v>
      </c>
      <c r="BN10" s="3">
        <v>7.0000000000000007E-2</v>
      </c>
      <c r="BO10" s="3">
        <v>0.08</v>
      </c>
      <c r="BP10" s="3">
        <v>0.09</v>
      </c>
      <c r="BQ10" s="3">
        <v>0.1</v>
      </c>
      <c r="BR10" s="3">
        <v>0.11</v>
      </c>
      <c r="BS10" s="3">
        <v>0.12</v>
      </c>
      <c r="BT10" s="3">
        <v>0.13</v>
      </c>
      <c r="BU10" s="3">
        <v>0.14000000000000001</v>
      </c>
      <c r="BV10" s="3">
        <v>0.15</v>
      </c>
      <c r="BW10" s="3">
        <v>0.16</v>
      </c>
      <c r="BX10" s="3">
        <v>0.17</v>
      </c>
      <c r="BY10">
        <v>1</v>
      </c>
      <c r="BZ10">
        <v>2</v>
      </c>
      <c r="CA10">
        <v>3</v>
      </c>
      <c r="CB10">
        <v>4</v>
      </c>
      <c r="CC10">
        <v>5</v>
      </c>
      <c r="CD10">
        <v>6</v>
      </c>
      <c r="CE10">
        <v>7</v>
      </c>
      <c r="CF10">
        <v>8</v>
      </c>
      <c r="CG10">
        <v>9</v>
      </c>
      <c r="CH10">
        <v>10</v>
      </c>
      <c r="CI10">
        <v>11</v>
      </c>
      <c r="CJ10">
        <v>12</v>
      </c>
      <c r="CK10">
        <v>13</v>
      </c>
      <c r="CL10">
        <v>14</v>
      </c>
      <c r="CM10">
        <v>15</v>
      </c>
      <c r="CN10">
        <v>16</v>
      </c>
      <c r="CO10">
        <v>17</v>
      </c>
    </row>
    <row r="11" spans="1:93">
      <c r="A11" t="s">
        <v>36</v>
      </c>
      <c r="B11" s="3">
        <v>7</v>
      </c>
      <c r="C11" s="3">
        <v>8</v>
      </c>
      <c r="D11" t="s">
        <v>94</v>
      </c>
      <c r="E11" s="3">
        <v>1.3</v>
      </c>
      <c r="F11" t="s">
        <v>98</v>
      </c>
      <c r="G11" t="str">
        <f>'Simulation Information'!$C$27</f>
        <v>Summer casual</v>
      </c>
      <c r="H11" t="b">
        <v>0</v>
      </c>
      <c r="I11" s="3">
        <v>25</v>
      </c>
      <c r="J11" s="3">
        <v>25.1</v>
      </c>
      <c r="K11" s="3">
        <v>25.2</v>
      </c>
      <c r="L11" s="3">
        <v>25.3</v>
      </c>
      <c r="M11" s="3">
        <v>25.4</v>
      </c>
      <c r="N11" s="3">
        <v>25.5</v>
      </c>
      <c r="O11" s="3">
        <v>25.6</v>
      </c>
      <c r="P11" s="3">
        <v>25.7</v>
      </c>
      <c r="Q11" s="3">
        <v>25.8</v>
      </c>
      <c r="R11" s="3">
        <v>25.9</v>
      </c>
      <c r="S11" s="3">
        <v>26</v>
      </c>
      <c r="T11" s="3">
        <v>26.1</v>
      </c>
      <c r="U11" s="3">
        <v>26.2</v>
      </c>
      <c r="V11" s="3">
        <v>26.3</v>
      </c>
      <c r="W11" s="3">
        <v>26.4</v>
      </c>
      <c r="X11" s="3">
        <v>26.5</v>
      </c>
      <c r="Y11" s="3">
        <v>26.6</v>
      </c>
      <c r="Z11" s="3">
        <v>26.6</v>
      </c>
      <c r="AA11" s="3">
        <v>26.5</v>
      </c>
      <c r="AB11" s="3">
        <v>26.4</v>
      </c>
      <c r="AC11" s="3">
        <v>26.3</v>
      </c>
      <c r="AD11" s="3">
        <v>26.2</v>
      </c>
      <c r="AE11" s="3">
        <v>26.1</v>
      </c>
      <c r="AF11" s="3">
        <v>26</v>
      </c>
      <c r="AG11" s="3">
        <v>25.9</v>
      </c>
      <c r="AH11" s="3">
        <v>25.8</v>
      </c>
      <c r="AI11" s="3">
        <v>25.7</v>
      </c>
      <c r="AJ11" s="3">
        <v>25.6</v>
      </c>
      <c r="AK11" s="3">
        <v>25.5</v>
      </c>
      <c r="AL11" s="3">
        <v>25.4</v>
      </c>
      <c r="AM11" s="3">
        <v>25.3</v>
      </c>
      <c r="AN11" s="3">
        <v>25.2</v>
      </c>
      <c r="AO11" s="3">
        <v>25.1</v>
      </c>
      <c r="AP11" s="3">
        <v>25</v>
      </c>
      <c r="AQ11" s="3">
        <v>0.5</v>
      </c>
      <c r="AR11" s="3">
        <v>0.51</v>
      </c>
      <c r="AS11" s="3">
        <v>0.52</v>
      </c>
      <c r="AT11" s="3">
        <v>0.53</v>
      </c>
      <c r="AU11" s="3">
        <v>0.54</v>
      </c>
      <c r="AV11" s="3">
        <v>0.55000000000000004</v>
      </c>
      <c r="AW11" s="3">
        <v>0.56000000000000005</v>
      </c>
      <c r="AX11" s="3">
        <v>0.56999999999999995</v>
      </c>
      <c r="AY11" s="3">
        <v>0.57999999999999996</v>
      </c>
      <c r="AZ11" s="3">
        <v>0.59</v>
      </c>
      <c r="BA11" s="3">
        <v>0.6</v>
      </c>
      <c r="BB11" s="3">
        <v>0.61</v>
      </c>
      <c r="BC11" s="3">
        <v>0.62</v>
      </c>
      <c r="BD11" s="3">
        <v>0.63</v>
      </c>
      <c r="BE11" s="3">
        <v>0.64</v>
      </c>
      <c r="BF11" s="3">
        <v>0.65</v>
      </c>
      <c r="BG11" s="3">
        <v>0.66</v>
      </c>
      <c r="BH11" s="3">
        <v>0.01</v>
      </c>
      <c r="BI11" s="3">
        <v>0.02</v>
      </c>
      <c r="BJ11" s="3">
        <v>0.03</v>
      </c>
      <c r="BK11" s="3">
        <v>0.04</v>
      </c>
      <c r="BL11" s="3">
        <v>0.05</v>
      </c>
      <c r="BM11" s="3">
        <v>0.06</v>
      </c>
      <c r="BN11" s="3">
        <v>7.0000000000000007E-2</v>
      </c>
      <c r="BO11" s="3">
        <v>0.08</v>
      </c>
      <c r="BP11" s="3">
        <v>0.09</v>
      </c>
      <c r="BQ11" s="3">
        <v>0.1</v>
      </c>
      <c r="BR11" s="3">
        <v>0.11</v>
      </c>
      <c r="BS11" s="3">
        <v>0.12</v>
      </c>
      <c r="BT11" s="3">
        <v>0.13</v>
      </c>
      <c r="BU11" s="3">
        <v>0.14000000000000001</v>
      </c>
      <c r="BV11" s="3">
        <v>0.15</v>
      </c>
      <c r="BW11" s="3">
        <v>0.16</v>
      </c>
      <c r="BX11" s="3">
        <v>0.17</v>
      </c>
      <c r="BY11">
        <v>1</v>
      </c>
      <c r="BZ11">
        <v>2</v>
      </c>
      <c r="CA11">
        <v>3</v>
      </c>
      <c r="CB11">
        <v>4</v>
      </c>
      <c r="CC11">
        <v>5</v>
      </c>
      <c r="CD11">
        <v>6</v>
      </c>
      <c r="CE11">
        <v>7</v>
      </c>
      <c r="CF11">
        <v>8</v>
      </c>
      <c r="CG11">
        <v>9</v>
      </c>
      <c r="CH11">
        <v>10</v>
      </c>
      <c r="CI11">
        <v>11</v>
      </c>
      <c r="CJ11">
        <v>12</v>
      </c>
      <c r="CK11">
        <v>13</v>
      </c>
      <c r="CL11">
        <v>14</v>
      </c>
      <c r="CM11">
        <v>15</v>
      </c>
      <c r="CN11">
        <v>16</v>
      </c>
      <c r="CO11">
        <v>17</v>
      </c>
    </row>
    <row r="12" spans="1:93">
      <c r="A12" t="s">
        <v>36</v>
      </c>
      <c r="B12" s="3">
        <v>8</v>
      </c>
      <c r="C12" s="3">
        <v>9</v>
      </c>
      <c r="D12" t="s">
        <v>94</v>
      </c>
      <c r="E12" s="3">
        <v>1.3</v>
      </c>
      <c r="F12" t="s">
        <v>98</v>
      </c>
      <c r="G12" t="str">
        <f>'Simulation Information'!$C$27</f>
        <v>Summer casual</v>
      </c>
      <c r="H12" t="b">
        <v>0</v>
      </c>
      <c r="I12" s="3">
        <v>25</v>
      </c>
      <c r="J12" s="3">
        <v>25.1</v>
      </c>
      <c r="K12" s="3">
        <v>25.2</v>
      </c>
      <c r="L12" s="3">
        <v>25.3</v>
      </c>
      <c r="M12" s="3">
        <v>25.4</v>
      </c>
      <c r="N12" s="3">
        <v>25.5</v>
      </c>
      <c r="O12" s="3">
        <v>25.6</v>
      </c>
      <c r="P12" s="3">
        <v>25.7</v>
      </c>
      <c r="Q12" s="3">
        <v>25.8</v>
      </c>
      <c r="R12" s="3">
        <v>25.9</v>
      </c>
      <c r="S12" s="3">
        <v>26</v>
      </c>
      <c r="T12" s="3">
        <v>26.1</v>
      </c>
      <c r="U12" s="3">
        <v>26.2</v>
      </c>
      <c r="V12" s="3">
        <v>26.3</v>
      </c>
      <c r="W12" s="3">
        <v>26.4</v>
      </c>
      <c r="X12" s="3">
        <v>26.5</v>
      </c>
      <c r="Y12" s="3">
        <v>26.6</v>
      </c>
      <c r="Z12" s="3">
        <v>26.6</v>
      </c>
      <c r="AA12" s="3">
        <v>26.5</v>
      </c>
      <c r="AB12" s="3">
        <v>26.4</v>
      </c>
      <c r="AC12" s="3">
        <v>26.3</v>
      </c>
      <c r="AD12" s="3">
        <v>26.2</v>
      </c>
      <c r="AE12" s="3">
        <v>26.1</v>
      </c>
      <c r="AF12" s="3">
        <v>26</v>
      </c>
      <c r="AG12" s="3">
        <v>25.9</v>
      </c>
      <c r="AH12" s="3">
        <v>25.8</v>
      </c>
      <c r="AI12" s="3">
        <v>25.7</v>
      </c>
      <c r="AJ12" s="3">
        <v>25.6</v>
      </c>
      <c r="AK12" s="3">
        <v>25.5</v>
      </c>
      <c r="AL12" s="3">
        <v>25.4</v>
      </c>
      <c r="AM12" s="3">
        <v>25.3</v>
      </c>
      <c r="AN12" s="3">
        <v>25.2</v>
      </c>
      <c r="AO12" s="3">
        <v>25.1</v>
      </c>
      <c r="AP12" s="3">
        <v>25</v>
      </c>
      <c r="AQ12" s="3">
        <v>0.5</v>
      </c>
      <c r="AR12" s="3">
        <v>0.51</v>
      </c>
      <c r="AS12" s="3">
        <v>0.52</v>
      </c>
      <c r="AT12" s="3">
        <v>0.53</v>
      </c>
      <c r="AU12" s="3">
        <v>0.54</v>
      </c>
      <c r="AV12" s="3">
        <v>0.55000000000000004</v>
      </c>
      <c r="AW12" s="3">
        <v>0.56000000000000005</v>
      </c>
      <c r="AX12" s="3">
        <v>0.56999999999999995</v>
      </c>
      <c r="AY12" s="3">
        <v>0.57999999999999996</v>
      </c>
      <c r="AZ12" s="3">
        <v>0.59</v>
      </c>
      <c r="BA12" s="3">
        <v>0.6</v>
      </c>
      <c r="BB12" s="3">
        <v>0.61</v>
      </c>
      <c r="BC12" s="3">
        <v>0.62</v>
      </c>
      <c r="BD12" s="3">
        <v>0.63</v>
      </c>
      <c r="BE12" s="3">
        <v>0.64</v>
      </c>
      <c r="BF12" s="3">
        <v>0.65</v>
      </c>
      <c r="BG12" s="3">
        <v>0.66</v>
      </c>
      <c r="BH12" s="3">
        <v>0.01</v>
      </c>
      <c r="BI12" s="3">
        <v>0.02</v>
      </c>
      <c r="BJ12" s="3">
        <v>0.03</v>
      </c>
      <c r="BK12" s="3">
        <v>0.04</v>
      </c>
      <c r="BL12" s="3">
        <v>0.05</v>
      </c>
      <c r="BM12" s="3">
        <v>0.06</v>
      </c>
      <c r="BN12" s="3">
        <v>7.0000000000000007E-2</v>
      </c>
      <c r="BO12" s="3">
        <v>0.08</v>
      </c>
      <c r="BP12" s="3">
        <v>0.09</v>
      </c>
      <c r="BQ12" s="3">
        <v>0.1</v>
      </c>
      <c r="BR12" s="3">
        <v>0.11</v>
      </c>
      <c r="BS12" s="3">
        <v>0.12</v>
      </c>
      <c r="BT12" s="3">
        <v>0.13</v>
      </c>
      <c r="BU12" s="3">
        <v>0.14000000000000001</v>
      </c>
      <c r="BV12" s="3">
        <v>0.15</v>
      </c>
      <c r="BW12" s="3">
        <v>0.16</v>
      </c>
      <c r="BX12" s="3">
        <v>0.17</v>
      </c>
      <c r="BY12">
        <v>1</v>
      </c>
      <c r="BZ12">
        <v>2</v>
      </c>
      <c r="CA12">
        <v>3</v>
      </c>
      <c r="CB12">
        <v>4</v>
      </c>
      <c r="CC12">
        <v>5</v>
      </c>
      <c r="CD12">
        <v>6</v>
      </c>
      <c r="CE12">
        <v>7</v>
      </c>
      <c r="CF12">
        <v>8</v>
      </c>
      <c r="CG12">
        <v>9</v>
      </c>
      <c r="CH12">
        <v>10</v>
      </c>
      <c r="CI12">
        <v>11</v>
      </c>
      <c r="CJ12">
        <v>12</v>
      </c>
      <c r="CK12">
        <v>13</v>
      </c>
      <c r="CL12">
        <v>14</v>
      </c>
      <c r="CM12">
        <v>15</v>
      </c>
      <c r="CN12">
        <v>16</v>
      </c>
      <c r="CO12">
        <v>17</v>
      </c>
    </row>
    <row r="13" spans="1:93">
      <c r="A13" t="s">
        <v>36</v>
      </c>
      <c r="B13" s="3">
        <v>9</v>
      </c>
      <c r="C13" s="3">
        <v>10</v>
      </c>
      <c r="D13" t="s">
        <v>94</v>
      </c>
      <c r="E13" s="3">
        <v>1.3</v>
      </c>
      <c r="F13" t="s">
        <v>98</v>
      </c>
      <c r="G13" t="str">
        <f>'Simulation Information'!$C$27</f>
        <v>Summer casual</v>
      </c>
      <c r="H13" t="b">
        <v>0</v>
      </c>
      <c r="I13" s="3">
        <v>25</v>
      </c>
      <c r="J13" s="3">
        <v>25.1</v>
      </c>
      <c r="K13" s="3">
        <v>25.2</v>
      </c>
      <c r="L13" s="3">
        <v>25.3</v>
      </c>
      <c r="M13" s="3">
        <v>25.4</v>
      </c>
      <c r="N13" s="3">
        <v>25.5</v>
      </c>
      <c r="O13" s="3">
        <v>25.6</v>
      </c>
      <c r="P13" s="3">
        <v>25.7</v>
      </c>
      <c r="Q13" s="3">
        <v>25.8</v>
      </c>
      <c r="R13" s="3">
        <v>25.9</v>
      </c>
      <c r="S13" s="3">
        <v>26</v>
      </c>
      <c r="T13" s="3">
        <v>26.1</v>
      </c>
      <c r="U13" s="3">
        <v>26.2</v>
      </c>
      <c r="V13" s="3">
        <v>26.3</v>
      </c>
      <c r="W13" s="3">
        <v>26.4</v>
      </c>
      <c r="X13" s="3">
        <v>26.5</v>
      </c>
      <c r="Y13" s="3">
        <v>26.6</v>
      </c>
      <c r="Z13" s="3">
        <v>26.6</v>
      </c>
      <c r="AA13" s="3">
        <v>26.5</v>
      </c>
      <c r="AB13" s="3">
        <v>26.4</v>
      </c>
      <c r="AC13" s="3">
        <v>26.3</v>
      </c>
      <c r="AD13" s="3">
        <v>26.2</v>
      </c>
      <c r="AE13" s="3">
        <v>26.1</v>
      </c>
      <c r="AF13" s="3">
        <v>26</v>
      </c>
      <c r="AG13" s="3">
        <v>25.9</v>
      </c>
      <c r="AH13" s="3">
        <v>25.8</v>
      </c>
      <c r="AI13" s="3">
        <v>25.7</v>
      </c>
      <c r="AJ13" s="3">
        <v>25.6</v>
      </c>
      <c r="AK13" s="3">
        <v>25.5</v>
      </c>
      <c r="AL13" s="3">
        <v>25.4</v>
      </c>
      <c r="AM13" s="3">
        <v>25.3</v>
      </c>
      <c r="AN13" s="3">
        <v>25.2</v>
      </c>
      <c r="AO13" s="3">
        <v>25.1</v>
      </c>
      <c r="AP13" s="3">
        <v>25</v>
      </c>
      <c r="AQ13" s="3">
        <v>0.5</v>
      </c>
      <c r="AR13" s="3">
        <v>0.51</v>
      </c>
      <c r="AS13" s="3">
        <v>0.52</v>
      </c>
      <c r="AT13" s="3">
        <v>0.53</v>
      </c>
      <c r="AU13" s="3">
        <v>0.54</v>
      </c>
      <c r="AV13" s="3">
        <v>0.55000000000000004</v>
      </c>
      <c r="AW13" s="3">
        <v>0.56000000000000005</v>
      </c>
      <c r="AX13" s="3">
        <v>0.56999999999999995</v>
      </c>
      <c r="AY13" s="3">
        <v>0.57999999999999996</v>
      </c>
      <c r="AZ13" s="3">
        <v>0.59</v>
      </c>
      <c r="BA13" s="3">
        <v>0.6</v>
      </c>
      <c r="BB13" s="3">
        <v>0.61</v>
      </c>
      <c r="BC13" s="3">
        <v>0.62</v>
      </c>
      <c r="BD13" s="3">
        <v>0.63</v>
      </c>
      <c r="BE13" s="3">
        <v>0.64</v>
      </c>
      <c r="BF13" s="3">
        <v>0.65</v>
      </c>
      <c r="BG13" s="3">
        <v>0.66</v>
      </c>
      <c r="BH13" s="3">
        <v>0.01</v>
      </c>
      <c r="BI13" s="3">
        <v>0.02</v>
      </c>
      <c r="BJ13" s="3">
        <v>0.03</v>
      </c>
      <c r="BK13" s="3">
        <v>0.04</v>
      </c>
      <c r="BL13" s="3">
        <v>0.05</v>
      </c>
      <c r="BM13" s="3">
        <v>0.06</v>
      </c>
      <c r="BN13" s="3">
        <v>7.0000000000000007E-2</v>
      </c>
      <c r="BO13" s="3">
        <v>0.08</v>
      </c>
      <c r="BP13" s="3">
        <v>0.09</v>
      </c>
      <c r="BQ13" s="3">
        <v>0.1</v>
      </c>
      <c r="BR13" s="3">
        <v>0.11</v>
      </c>
      <c r="BS13" s="3">
        <v>0.12</v>
      </c>
      <c r="BT13" s="3">
        <v>0.13</v>
      </c>
      <c r="BU13" s="3">
        <v>0.14000000000000001</v>
      </c>
      <c r="BV13" s="3">
        <v>0.15</v>
      </c>
      <c r="BW13" s="3">
        <v>0.16</v>
      </c>
      <c r="BX13" s="3">
        <v>0.17</v>
      </c>
      <c r="BY13">
        <v>1</v>
      </c>
      <c r="BZ13">
        <v>2</v>
      </c>
      <c r="CA13">
        <v>3</v>
      </c>
      <c r="CB13">
        <v>4</v>
      </c>
      <c r="CC13">
        <v>5</v>
      </c>
      <c r="CD13">
        <v>6</v>
      </c>
      <c r="CE13">
        <v>7</v>
      </c>
      <c r="CF13">
        <v>8</v>
      </c>
      <c r="CG13">
        <v>9</v>
      </c>
      <c r="CH13">
        <v>10</v>
      </c>
      <c r="CI13">
        <v>11</v>
      </c>
      <c r="CJ13">
        <v>12</v>
      </c>
      <c r="CK13">
        <v>13</v>
      </c>
      <c r="CL13">
        <v>14</v>
      </c>
      <c r="CM13">
        <v>15</v>
      </c>
      <c r="CN13">
        <v>16</v>
      </c>
      <c r="CO13">
        <v>17</v>
      </c>
    </row>
    <row r="14" spans="1:93">
      <c r="A14" t="s">
        <v>23</v>
      </c>
      <c r="B14" s="3">
        <v>10</v>
      </c>
      <c r="C14" s="3">
        <v>11</v>
      </c>
      <c r="D14" t="s">
        <v>94</v>
      </c>
      <c r="E14" s="3">
        <v>1.3</v>
      </c>
      <c r="F14" t="s">
        <v>98</v>
      </c>
      <c r="G14" t="str">
        <f>'Simulation Information'!$C$27</f>
        <v>Summer casual</v>
      </c>
      <c r="H14" t="b">
        <v>0</v>
      </c>
      <c r="I14" s="3">
        <v>25</v>
      </c>
      <c r="J14" s="3">
        <v>25.1</v>
      </c>
      <c r="K14" s="3">
        <v>25.2</v>
      </c>
      <c r="L14" s="3">
        <v>25.3</v>
      </c>
      <c r="M14" s="3">
        <v>25.4</v>
      </c>
      <c r="N14" s="3">
        <v>25.5</v>
      </c>
      <c r="O14" s="3">
        <v>25.6</v>
      </c>
      <c r="P14" s="3">
        <v>25.7</v>
      </c>
      <c r="Q14" s="3">
        <v>25.8</v>
      </c>
      <c r="R14" s="3">
        <v>25.9</v>
      </c>
      <c r="S14" s="3">
        <v>26</v>
      </c>
      <c r="T14" s="3">
        <v>26.1</v>
      </c>
      <c r="U14" s="3">
        <v>26.2</v>
      </c>
      <c r="V14" s="3">
        <v>26.3</v>
      </c>
      <c r="W14" s="3">
        <v>26.4</v>
      </c>
      <c r="X14" s="3">
        <v>26.5</v>
      </c>
      <c r="Y14" s="3">
        <v>26.6</v>
      </c>
      <c r="Z14" s="3">
        <v>26.6</v>
      </c>
      <c r="AA14" s="3">
        <v>26.5</v>
      </c>
      <c r="AB14" s="3">
        <v>26.4</v>
      </c>
      <c r="AC14" s="3">
        <v>26.3</v>
      </c>
      <c r="AD14" s="3">
        <v>26.2</v>
      </c>
      <c r="AE14" s="3">
        <v>26.1</v>
      </c>
      <c r="AF14" s="3">
        <v>26</v>
      </c>
      <c r="AG14" s="3">
        <v>25.9</v>
      </c>
      <c r="AH14" s="3">
        <v>25.8</v>
      </c>
      <c r="AI14" s="3">
        <v>25.7</v>
      </c>
      <c r="AJ14" s="3">
        <v>25.6</v>
      </c>
      <c r="AK14" s="3">
        <v>25.5</v>
      </c>
      <c r="AL14" s="3">
        <v>25.4</v>
      </c>
      <c r="AM14" s="3">
        <v>25.3</v>
      </c>
      <c r="AN14" s="3">
        <v>25.2</v>
      </c>
      <c r="AO14" s="3">
        <v>25.1</v>
      </c>
      <c r="AP14" s="3">
        <v>25</v>
      </c>
      <c r="AQ14" s="3">
        <v>0.5</v>
      </c>
      <c r="AR14" s="3">
        <v>0.51</v>
      </c>
      <c r="AS14" s="3">
        <v>0.52</v>
      </c>
      <c r="AT14" s="3">
        <v>0.53</v>
      </c>
      <c r="AU14" s="3">
        <v>0.54</v>
      </c>
      <c r="AV14" s="3">
        <v>0.55000000000000004</v>
      </c>
      <c r="AW14" s="3">
        <v>0.56000000000000005</v>
      </c>
      <c r="AX14" s="3">
        <v>0.56999999999999995</v>
      </c>
      <c r="AY14" s="3">
        <v>0.57999999999999996</v>
      </c>
      <c r="AZ14" s="3">
        <v>0.59</v>
      </c>
      <c r="BA14" s="3">
        <v>0.6</v>
      </c>
      <c r="BB14" s="3">
        <v>0.61</v>
      </c>
      <c r="BC14" s="3">
        <v>0.62</v>
      </c>
      <c r="BD14" s="3">
        <v>0.63</v>
      </c>
      <c r="BE14" s="3">
        <v>0.64</v>
      </c>
      <c r="BF14" s="3">
        <v>0.65</v>
      </c>
      <c r="BG14" s="3">
        <v>0.66</v>
      </c>
      <c r="BH14" s="3">
        <v>0.01</v>
      </c>
      <c r="BI14" s="3">
        <v>0.02</v>
      </c>
      <c r="BJ14" s="3">
        <v>0.03</v>
      </c>
      <c r="BK14" s="3">
        <v>0.04</v>
      </c>
      <c r="BL14" s="3">
        <v>0.05</v>
      </c>
      <c r="BM14" s="3">
        <v>0.06</v>
      </c>
      <c r="BN14" s="3">
        <v>7.0000000000000007E-2</v>
      </c>
      <c r="BO14" s="3">
        <v>0.08</v>
      </c>
      <c r="BP14" s="3">
        <v>0.09</v>
      </c>
      <c r="BQ14" s="3">
        <v>0.1</v>
      </c>
      <c r="BR14" s="3">
        <v>0.11</v>
      </c>
      <c r="BS14" s="3">
        <v>0.12</v>
      </c>
      <c r="BT14" s="3">
        <v>0.13</v>
      </c>
      <c r="BU14" s="3">
        <v>0.14000000000000001</v>
      </c>
      <c r="BV14" s="3">
        <v>0.15</v>
      </c>
      <c r="BW14" s="3">
        <v>0.16</v>
      </c>
      <c r="BX14" s="3">
        <v>0.17</v>
      </c>
      <c r="BY14">
        <v>1</v>
      </c>
      <c r="BZ14">
        <v>2</v>
      </c>
      <c r="CA14">
        <v>3</v>
      </c>
      <c r="CB14">
        <v>4</v>
      </c>
      <c r="CC14">
        <v>5</v>
      </c>
      <c r="CD14">
        <v>6</v>
      </c>
      <c r="CE14">
        <v>7</v>
      </c>
      <c r="CF14">
        <v>8</v>
      </c>
      <c r="CG14">
        <v>9</v>
      </c>
      <c r="CH14">
        <v>10</v>
      </c>
      <c r="CI14">
        <v>11</v>
      </c>
      <c r="CJ14">
        <v>12</v>
      </c>
      <c r="CK14">
        <v>13</v>
      </c>
      <c r="CL14">
        <v>14</v>
      </c>
      <c r="CM14">
        <v>15</v>
      </c>
      <c r="CN14">
        <v>16</v>
      </c>
      <c r="CO14">
        <v>17</v>
      </c>
    </row>
    <row r="15" spans="1:93">
      <c r="A15" t="s">
        <v>23</v>
      </c>
      <c r="B15" s="3">
        <v>11</v>
      </c>
      <c r="C15" s="3">
        <v>12</v>
      </c>
      <c r="D15" t="s">
        <v>94</v>
      </c>
      <c r="E15" s="3">
        <v>1.3</v>
      </c>
      <c r="F15" t="s">
        <v>98</v>
      </c>
      <c r="G15" t="str">
        <f>'Simulation Information'!$C$27</f>
        <v>Summer casual</v>
      </c>
      <c r="H15" t="b">
        <v>0</v>
      </c>
      <c r="I15" s="3">
        <v>25</v>
      </c>
      <c r="J15" s="3">
        <v>25.1</v>
      </c>
      <c r="K15" s="3">
        <v>25.2</v>
      </c>
      <c r="L15" s="3">
        <v>25.3</v>
      </c>
      <c r="M15" s="3">
        <v>25.4</v>
      </c>
      <c r="N15" s="3">
        <v>25.5</v>
      </c>
      <c r="O15" s="3">
        <v>25.6</v>
      </c>
      <c r="P15" s="3">
        <v>25.7</v>
      </c>
      <c r="Q15" s="3">
        <v>25.8</v>
      </c>
      <c r="R15" s="3">
        <v>25.9</v>
      </c>
      <c r="S15" s="3">
        <v>26</v>
      </c>
      <c r="T15" s="3">
        <v>26.1</v>
      </c>
      <c r="U15" s="3">
        <v>26.2</v>
      </c>
      <c r="V15" s="3">
        <v>26.3</v>
      </c>
      <c r="W15" s="3">
        <v>26.4</v>
      </c>
      <c r="X15" s="3">
        <v>26.5</v>
      </c>
      <c r="Y15" s="3">
        <v>26.6</v>
      </c>
      <c r="Z15" s="3">
        <v>26.6</v>
      </c>
      <c r="AA15" s="3">
        <v>26.5</v>
      </c>
      <c r="AB15" s="3">
        <v>26.4</v>
      </c>
      <c r="AC15" s="3">
        <v>26.3</v>
      </c>
      <c r="AD15" s="3">
        <v>26.2</v>
      </c>
      <c r="AE15" s="3">
        <v>26.1</v>
      </c>
      <c r="AF15" s="3">
        <v>26</v>
      </c>
      <c r="AG15" s="3">
        <v>25.9</v>
      </c>
      <c r="AH15" s="3">
        <v>25.8</v>
      </c>
      <c r="AI15" s="3">
        <v>25.7</v>
      </c>
      <c r="AJ15" s="3">
        <v>25.6</v>
      </c>
      <c r="AK15" s="3">
        <v>25.5</v>
      </c>
      <c r="AL15" s="3">
        <v>25.4</v>
      </c>
      <c r="AM15" s="3">
        <v>25.3</v>
      </c>
      <c r="AN15" s="3">
        <v>25.2</v>
      </c>
      <c r="AO15" s="3">
        <v>25.1</v>
      </c>
      <c r="AP15" s="3">
        <v>25</v>
      </c>
      <c r="AQ15" s="3">
        <v>0.5</v>
      </c>
      <c r="AR15" s="3">
        <v>0.51</v>
      </c>
      <c r="AS15" s="3">
        <v>0.52</v>
      </c>
      <c r="AT15" s="3">
        <v>0.53</v>
      </c>
      <c r="AU15" s="3">
        <v>0.54</v>
      </c>
      <c r="AV15" s="3">
        <v>0.55000000000000004</v>
      </c>
      <c r="AW15" s="3">
        <v>0.56000000000000005</v>
      </c>
      <c r="AX15" s="3">
        <v>0.56999999999999995</v>
      </c>
      <c r="AY15" s="3">
        <v>0.57999999999999996</v>
      </c>
      <c r="AZ15" s="3">
        <v>0.59</v>
      </c>
      <c r="BA15" s="3">
        <v>0.6</v>
      </c>
      <c r="BB15" s="3">
        <v>0.61</v>
      </c>
      <c r="BC15" s="3">
        <v>0.62</v>
      </c>
      <c r="BD15" s="3">
        <v>0.63</v>
      </c>
      <c r="BE15" s="3">
        <v>0.64</v>
      </c>
      <c r="BF15" s="3">
        <v>0.65</v>
      </c>
      <c r="BG15" s="3">
        <v>0.66</v>
      </c>
      <c r="BH15" s="3">
        <v>0.01</v>
      </c>
      <c r="BI15" s="3">
        <v>0.02</v>
      </c>
      <c r="BJ15" s="3">
        <v>0.03</v>
      </c>
      <c r="BK15" s="3">
        <v>0.04</v>
      </c>
      <c r="BL15" s="3">
        <v>0.05</v>
      </c>
      <c r="BM15" s="3">
        <v>0.06</v>
      </c>
      <c r="BN15" s="3">
        <v>7.0000000000000007E-2</v>
      </c>
      <c r="BO15" s="3">
        <v>0.08</v>
      </c>
      <c r="BP15" s="3">
        <v>0.09</v>
      </c>
      <c r="BQ15" s="3">
        <v>0.1</v>
      </c>
      <c r="BR15" s="3">
        <v>0.11</v>
      </c>
      <c r="BS15" s="3">
        <v>0.12</v>
      </c>
      <c r="BT15" s="3">
        <v>0.13</v>
      </c>
      <c r="BU15" s="3">
        <v>0.14000000000000001</v>
      </c>
      <c r="BV15" s="3">
        <v>0.15</v>
      </c>
      <c r="BW15" s="3">
        <v>0.16</v>
      </c>
      <c r="BX15" s="3">
        <v>0.17</v>
      </c>
      <c r="BY15">
        <v>1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7</v>
      </c>
      <c r="CF15">
        <v>8</v>
      </c>
      <c r="CG15">
        <v>9</v>
      </c>
      <c r="CH15">
        <v>10</v>
      </c>
      <c r="CI15">
        <v>11</v>
      </c>
      <c r="CJ15">
        <v>12</v>
      </c>
      <c r="CK15">
        <v>13</v>
      </c>
      <c r="CL15">
        <v>14</v>
      </c>
      <c r="CM15">
        <v>15</v>
      </c>
      <c r="CN15">
        <v>16</v>
      </c>
      <c r="CO15">
        <v>17</v>
      </c>
    </row>
    <row r="16" spans="1:93">
      <c r="A16" t="s">
        <v>23</v>
      </c>
      <c r="B16" s="3">
        <v>12</v>
      </c>
      <c r="C16" s="3">
        <v>13</v>
      </c>
      <c r="D16" t="s">
        <v>94</v>
      </c>
      <c r="E16" s="3">
        <v>1.3</v>
      </c>
      <c r="F16" t="s">
        <v>98</v>
      </c>
      <c r="G16" t="str">
        <f>'Simulation Information'!$C$27</f>
        <v>Summer casual</v>
      </c>
      <c r="H16" t="b">
        <v>0</v>
      </c>
      <c r="I16" s="3">
        <v>25</v>
      </c>
      <c r="J16" s="3">
        <v>25.1</v>
      </c>
      <c r="K16" s="3">
        <v>25.2</v>
      </c>
      <c r="L16" s="3">
        <v>25.3</v>
      </c>
      <c r="M16" s="3">
        <v>25.4</v>
      </c>
      <c r="N16" s="3">
        <v>25.5</v>
      </c>
      <c r="O16" s="3">
        <v>25.6</v>
      </c>
      <c r="P16" s="3">
        <v>25.7</v>
      </c>
      <c r="Q16" s="3">
        <v>25.8</v>
      </c>
      <c r="R16" s="3">
        <v>25.9</v>
      </c>
      <c r="S16" s="3">
        <v>26</v>
      </c>
      <c r="T16" s="3">
        <v>26.1</v>
      </c>
      <c r="U16" s="3">
        <v>26.2</v>
      </c>
      <c r="V16" s="3">
        <v>26.3</v>
      </c>
      <c r="W16" s="3">
        <v>26.4</v>
      </c>
      <c r="X16" s="3">
        <v>26.5</v>
      </c>
      <c r="Y16" s="3">
        <v>26.6</v>
      </c>
      <c r="Z16" s="3">
        <v>26.6</v>
      </c>
      <c r="AA16" s="3">
        <v>26.5</v>
      </c>
      <c r="AB16" s="3">
        <v>26.4</v>
      </c>
      <c r="AC16" s="3">
        <v>26.3</v>
      </c>
      <c r="AD16" s="3">
        <v>26.2</v>
      </c>
      <c r="AE16" s="3">
        <v>26.1</v>
      </c>
      <c r="AF16" s="3">
        <v>26</v>
      </c>
      <c r="AG16" s="3">
        <v>25.9</v>
      </c>
      <c r="AH16" s="3">
        <v>25.8</v>
      </c>
      <c r="AI16" s="3">
        <v>25.7</v>
      </c>
      <c r="AJ16" s="3">
        <v>25.6</v>
      </c>
      <c r="AK16" s="3">
        <v>25.5</v>
      </c>
      <c r="AL16" s="3">
        <v>25.4</v>
      </c>
      <c r="AM16" s="3">
        <v>25.3</v>
      </c>
      <c r="AN16" s="3">
        <v>25.2</v>
      </c>
      <c r="AO16" s="3">
        <v>25.1</v>
      </c>
      <c r="AP16" s="3">
        <v>25</v>
      </c>
      <c r="AQ16" s="3">
        <v>0.5</v>
      </c>
      <c r="AR16" s="3">
        <v>0.51</v>
      </c>
      <c r="AS16" s="3">
        <v>0.52</v>
      </c>
      <c r="AT16" s="3">
        <v>0.53</v>
      </c>
      <c r="AU16" s="3">
        <v>0.54</v>
      </c>
      <c r="AV16" s="3">
        <v>0.55000000000000004</v>
      </c>
      <c r="AW16" s="3">
        <v>0.56000000000000005</v>
      </c>
      <c r="AX16" s="3">
        <v>0.56999999999999995</v>
      </c>
      <c r="AY16" s="3">
        <v>0.57999999999999996</v>
      </c>
      <c r="AZ16" s="3">
        <v>0.59</v>
      </c>
      <c r="BA16" s="3">
        <v>0.6</v>
      </c>
      <c r="BB16" s="3">
        <v>0.61</v>
      </c>
      <c r="BC16" s="3">
        <v>0.62</v>
      </c>
      <c r="BD16" s="3">
        <v>0.63</v>
      </c>
      <c r="BE16" s="3">
        <v>0.64</v>
      </c>
      <c r="BF16" s="3">
        <v>0.65</v>
      </c>
      <c r="BG16" s="3">
        <v>0.66</v>
      </c>
      <c r="BH16" s="3">
        <v>0.01</v>
      </c>
      <c r="BI16" s="3">
        <v>0.02</v>
      </c>
      <c r="BJ16" s="3">
        <v>0.03</v>
      </c>
      <c r="BK16" s="3">
        <v>0.04</v>
      </c>
      <c r="BL16" s="3">
        <v>0.05</v>
      </c>
      <c r="BM16" s="3">
        <v>0.06</v>
      </c>
      <c r="BN16" s="3">
        <v>7.0000000000000007E-2</v>
      </c>
      <c r="BO16" s="3">
        <v>0.08</v>
      </c>
      <c r="BP16" s="3">
        <v>0.09</v>
      </c>
      <c r="BQ16" s="3">
        <v>0.1</v>
      </c>
      <c r="BR16" s="3">
        <v>0.11</v>
      </c>
      <c r="BS16" s="3">
        <v>0.12</v>
      </c>
      <c r="BT16" s="3">
        <v>0.13</v>
      </c>
      <c r="BU16" s="3">
        <v>0.14000000000000001</v>
      </c>
      <c r="BV16" s="3">
        <v>0.15</v>
      </c>
      <c r="BW16" s="3">
        <v>0.16</v>
      </c>
      <c r="BX16" s="3">
        <v>0.17</v>
      </c>
      <c r="BY16">
        <v>1</v>
      </c>
      <c r="BZ16">
        <v>2</v>
      </c>
      <c r="CA16">
        <v>3</v>
      </c>
      <c r="CB16">
        <v>4</v>
      </c>
      <c r="CC16">
        <v>5</v>
      </c>
      <c r="CD16">
        <v>6</v>
      </c>
      <c r="CE16">
        <v>7</v>
      </c>
      <c r="CF16">
        <v>8</v>
      </c>
      <c r="CG16">
        <v>9</v>
      </c>
      <c r="CH16">
        <v>10</v>
      </c>
      <c r="CI16">
        <v>11</v>
      </c>
      <c r="CJ16">
        <v>12</v>
      </c>
      <c r="CK16">
        <v>13</v>
      </c>
      <c r="CL16">
        <v>14</v>
      </c>
      <c r="CM16">
        <v>15</v>
      </c>
      <c r="CN16">
        <v>16</v>
      </c>
      <c r="CO16">
        <v>17</v>
      </c>
    </row>
    <row r="17" spans="1:93">
      <c r="A17" t="s">
        <v>23</v>
      </c>
      <c r="B17" s="3">
        <v>13</v>
      </c>
      <c r="C17" s="3">
        <v>14</v>
      </c>
      <c r="D17" t="s">
        <v>94</v>
      </c>
      <c r="E17" s="3">
        <v>1.3</v>
      </c>
      <c r="F17" t="s">
        <v>98</v>
      </c>
      <c r="G17" t="str">
        <f>'Simulation Information'!$C$27</f>
        <v>Summer casual</v>
      </c>
      <c r="H17" t="b">
        <v>0</v>
      </c>
      <c r="I17" s="3">
        <v>25</v>
      </c>
      <c r="J17" s="3">
        <v>25.1</v>
      </c>
      <c r="K17" s="3">
        <v>25.2</v>
      </c>
      <c r="L17" s="3">
        <v>25.3</v>
      </c>
      <c r="M17" s="3">
        <v>25.4</v>
      </c>
      <c r="N17" s="3">
        <v>25.5</v>
      </c>
      <c r="O17" s="3">
        <v>25.6</v>
      </c>
      <c r="P17" s="3">
        <v>25.7</v>
      </c>
      <c r="Q17" s="3">
        <v>25.8</v>
      </c>
      <c r="R17" s="3">
        <v>25.9</v>
      </c>
      <c r="S17" s="3">
        <v>26</v>
      </c>
      <c r="T17" s="3">
        <v>26.1</v>
      </c>
      <c r="U17" s="3">
        <v>26.2</v>
      </c>
      <c r="V17" s="3">
        <v>26.3</v>
      </c>
      <c r="W17" s="3">
        <v>26.4</v>
      </c>
      <c r="X17" s="3">
        <v>26.5</v>
      </c>
      <c r="Y17" s="3">
        <v>26.6</v>
      </c>
      <c r="Z17" s="3">
        <v>26.6</v>
      </c>
      <c r="AA17" s="3">
        <v>26.5</v>
      </c>
      <c r="AB17" s="3">
        <v>26.4</v>
      </c>
      <c r="AC17" s="3">
        <v>26.3</v>
      </c>
      <c r="AD17" s="3">
        <v>26.2</v>
      </c>
      <c r="AE17" s="3">
        <v>26.1</v>
      </c>
      <c r="AF17" s="3">
        <v>26</v>
      </c>
      <c r="AG17" s="3">
        <v>25.9</v>
      </c>
      <c r="AH17" s="3">
        <v>25.8</v>
      </c>
      <c r="AI17" s="3">
        <v>25.7</v>
      </c>
      <c r="AJ17" s="3">
        <v>25.6</v>
      </c>
      <c r="AK17" s="3">
        <v>25.5</v>
      </c>
      <c r="AL17" s="3">
        <v>25.4</v>
      </c>
      <c r="AM17" s="3">
        <v>25.3</v>
      </c>
      <c r="AN17" s="3">
        <v>25.2</v>
      </c>
      <c r="AO17" s="3">
        <v>25.1</v>
      </c>
      <c r="AP17" s="3">
        <v>25</v>
      </c>
      <c r="AQ17" s="3">
        <v>0.5</v>
      </c>
      <c r="AR17" s="3">
        <v>0.51</v>
      </c>
      <c r="AS17" s="3">
        <v>0.52</v>
      </c>
      <c r="AT17" s="3">
        <v>0.53</v>
      </c>
      <c r="AU17" s="3">
        <v>0.54</v>
      </c>
      <c r="AV17" s="3">
        <v>0.55000000000000004</v>
      </c>
      <c r="AW17" s="3">
        <v>0.56000000000000005</v>
      </c>
      <c r="AX17" s="3">
        <v>0.56999999999999995</v>
      </c>
      <c r="AY17" s="3">
        <v>0.57999999999999996</v>
      </c>
      <c r="AZ17" s="3">
        <v>0.59</v>
      </c>
      <c r="BA17" s="3">
        <v>0.6</v>
      </c>
      <c r="BB17" s="3">
        <v>0.61</v>
      </c>
      <c r="BC17" s="3">
        <v>0.62</v>
      </c>
      <c r="BD17" s="3">
        <v>0.63</v>
      </c>
      <c r="BE17" s="3">
        <v>0.64</v>
      </c>
      <c r="BF17" s="3">
        <v>0.65</v>
      </c>
      <c r="BG17" s="3">
        <v>0.66</v>
      </c>
      <c r="BH17" s="3">
        <v>0.01</v>
      </c>
      <c r="BI17" s="3">
        <v>0.02</v>
      </c>
      <c r="BJ17" s="3">
        <v>0.03</v>
      </c>
      <c r="BK17" s="3">
        <v>0.04</v>
      </c>
      <c r="BL17" s="3">
        <v>0.05</v>
      </c>
      <c r="BM17" s="3">
        <v>0.06</v>
      </c>
      <c r="BN17" s="3">
        <v>7.0000000000000007E-2</v>
      </c>
      <c r="BO17" s="3">
        <v>0.08</v>
      </c>
      <c r="BP17" s="3">
        <v>0.09</v>
      </c>
      <c r="BQ17" s="3">
        <v>0.1</v>
      </c>
      <c r="BR17" s="3">
        <v>0.11</v>
      </c>
      <c r="BS17" s="3">
        <v>0.12</v>
      </c>
      <c r="BT17" s="3">
        <v>0.13</v>
      </c>
      <c r="BU17" s="3">
        <v>0.14000000000000001</v>
      </c>
      <c r="BV17" s="3">
        <v>0.15</v>
      </c>
      <c r="BW17" s="3">
        <v>0.16</v>
      </c>
      <c r="BX17" s="3">
        <v>0.17</v>
      </c>
      <c r="BY17">
        <v>1</v>
      </c>
      <c r="BZ17">
        <v>2</v>
      </c>
      <c r="CA17">
        <v>3</v>
      </c>
      <c r="CB17">
        <v>4</v>
      </c>
      <c r="CC17">
        <v>5</v>
      </c>
      <c r="CD17">
        <v>6</v>
      </c>
      <c r="CE17">
        <v>7</v>
      </c>
      <c r="CF17">
        <v>8</v>
      </c>
      <c r="CG17">
        <v>9</v>
      </c>
      <c r="CH17">
        <v>10</v>
      </c>
      <c r="CI17">
        <v>11</v>
      </c>
      <c r="CJ17">
        <v>12</v>
      </c>
      <c r="CK17">
        <v>13</v>
      </c>
      <c r="CL17">
        <v>14</v>
      </c>
      <c r="CM17">
        <v>15</v>
      </c>
      <c r="CN17">
        <v>16</v>
      </c>
      <c r="CO17">
        <v>17</v>
      </c>
    </row>
    <row r="18" spans="1:93">
      <c r="A18" t="s">
        <v>23</v>
      </c>
      <c r="B18" s="3">
        <v>14</v>
      </c>
      <c r="C18" s="3">
        <v>15</v>
      </c>
      <c r="D18" t="s">
        <v>94</v>
      </c>
      <c r="E18" s="3">
        <v>1.3</v>
      </c>
      <c r="F18" t="s">
        <v>98</v>
      </c>
      <c r="G18" t="str">
        <f>'Simulation Information'!$C$27</f>
        <v>Summer casual</v>
      </c>
      <c r="H18" t="b">
        <v>0</v>
      </c>
      <c r="I18" s="3">
        <v>25</v>
      </c>
      <c r="J18" s="3">
        <v>25.1</v>
      </c>
      <c r="K18" s="3">
        <v>25.2</v>
      </c>
      <c r="L18" s="3">
        <v>25.3</v>
      </c>
      <c r="M18" s="3">
        <v>25.4</v>
      </c>
      <c r="N18" s="3">
        <v>25.5</v>
      </c>
      <c r="O18" s="3">
        <v>25.6</v>
      </c>
      <c r="P18" s="3">
        <v>25.7</v>
      </c>
      <c r="Q18" s="3">
        <v>25.8</v>
      </c>
      <c r="R18" s="3">
        <v>25.9</v>
      </c>
      <c r="S18" s="3">
        <v>26</v>
      </c>
      <c r="T18" s="3">
        <v>26.1</v>
      </c>
      <c r="U18" s="3">
        <v>26.2</v>
      </c>
      <c r="V18" s="3">
        <v>26.3</v>
      </c>
      <c r="W18" s="3">
        <v>26.4</v>
      </c>
      <c r="X18" s="3">
        <v>26.5</v>
      </c>
      <c r="Y18" s="3">
        <v>26.6</v>
      </c>
      <c r="Z18" s="3">
        <v>26.6</v>
      </c>
      <c r="AA18" s="3">
        <v>26.5</v>
      </c>
      <c r="AB18" s="3">
        <v>26.4</v>
      </c>
      <c r="AC18" s="3">
        <v>26.3</v>
      </c>
      <c r="AD18" s="3">
        <v>26.2</v>
      </c>
      <c r="AE18" s="3">
        <v>26.1</v>
      </c>
      <c r="AF18" s="3">
        <v>26</v>
      </c>
      <c r="AG18" s="3">
        <v>25.9</v>
      </c>
      <c r="AH18" s="3">
        <v>25.8</v>
      </c>
      <c r="AI18" s="3">
        <v>25.7</v>
      </c>
      <c r="AJ18" s="3">
        <v>25.6</v>
      </c>
      <c r="AK18" s="3">
        <v>25.5</v>
      </c>
      <c r="AL18" s="3">
        <v>25.4</v>
      </c>
      <c r="AM18" s="3">
        <v>25.3</v>
      </c>
      <c r="AN18" s="3">
        <v>25.2</v>
      </c>
      <c r="AO18" s="3">
        <v>25.1</v>
      </c>
      <c r="AP18" s="3">
        <v>25</v>
      </c>
      <c r="AQ18" s="3">
        <v>0.5</v>
      </c>
      <c r="AR18" s="3">
        <v>0.51</v>
      </c>
      <c r="AS18" s="3">
        <v>0.52</v>
      </c>
      <c r="AT18" s="3">
        <v>0.53</v>
      </c>
      <c r="AU18" s="3">
        <v>0.54</v>
      </c>
      <c r="AV18" s="3">
        <v>0.55000000000000004</v>
      </c>
      <c r="AW18" s="3">
        <v>0.56000000000000005</v>
      </c>
      <c r="AX18" s="3">
        <v>0.56999999999999995</v>
      </c>
      <c r="AY18" s="3">
        <v>0.57999999999999996</v>
      </c>
      <c r="AZ18" s="3">
        <v>0.59</v>
      </c>
      <c r="BA18" s="3">
        <v>0.6</v>
      </c>
      <c r="BB18" s="3">
        <v>0.61</v>
      </c>
      <c r="BC18" s="3">
        <v>0.62</v>
      </c>
      <c r="BD18" s="3">
        <v>0.63</v>
      </c>
      <c r="BE18" s="3">
        <v>0.64</v>
      </c>
      <c r="BF18" s="3">
        <v>0.65</v>
      </c>
      <c r="BG18" s="3">
        <v>0.66</v>
      </c>
      <c r="BH18" s="3">
        <v>0.01</v>
      </c>
      <c r="BI18" s="3">
        <v>0.02</v>
      </c>
      <c r="BJ18" s="3">
        <v>0.03</v>
      </c>
      <c r="BK18" s="3">
        <v>0.04</v>
      </c>
      <c r="BL18" s="3">
        <v>0.05</v>
      </c>
      <c r="BM18" s="3">
        <v>0.06</v>
      </c>
      <c r="BN18" s="3">
        <v>7.0000000000000007E-2</v>
      </c>
      <c r="BO18" s="3">
        <v>0.08</v>
      </c>
      <c r="BP18" s="3">
        <v>0.09</v>
      </c>
      <c r="BQ18" s="3">
        <v>0.1</v>
      </c>
      <c r="BR18" s="3">
        <v>0.11</v>
      </c>
      <c r="BS18" s="3">
        <v>0.12</v>
      </c>
      <c r="BT18" s="3">
        <v>0.13</v>
      </c>
      <c r="BU18" s="3">
        <v>0.14000000000000001</v>
      </c>
      <c r="BV18" s="3">
        <v>0.15</v>
      </c>
      <c r="BW18" s="3">
        <v>0.16</v>
      </c>
      <c r="BX18" s="3">
        <v>0.17</v>
      </c>
      <c r="BY18">
        <v>1</v>
      </c>
      <c r="BZ18">
        <v>2</v>
      </c>
      <c r="CA18">
        <v>3</v>
      </c>
      <c r="CB18">
        <v>4</v>
      </c>
      <c r="CC18">
        <v>5</v>
      </c>
      <c r="CD18">
        <v>6</v>
      </c>
      <c r="CE18">
        <v>7</v>
      </c>
      <c r="CF18">
        <v>8</v>
      </c>
      <c r="CG18">
        <v>9</v>
      </c>
      <c r="CH18">
        <v>10</v>
      </c>
      <c r="CI18">
        <v>11</v>
      </c>
      <c r="CJ18">
        <v>12</v>
      </c>
      <c r="CK18">
        <v>13</v>
      </c>
      <c r="CL18">
        <v>14</v>
      </c>
      <c r="CM18">
        <v>15</v>
      </c>
      <c r="CN18">
        <v>16</v>
      </c>
      <c r="CO18">
        <v>17</v>
      </c>
    </row>
    <row r="19" spans="1:93">
      <c r="A19" t="s">
        <v>23</v>
      </c>
      <c r="B19" s="3">
        <v>15</v>
      </c>
      <c r="C19" s="3">
        <v>16</v>
      </c>
      <c r="D19" t="s">
        <v>94</v>
      </c>
      <c r="E19" s="3">
        <v>1.3</v>
      </c>
      <c r="F19" t="s">
        <v>98</v>
      </c>
      <c r="G19" t="str">
        <f>'Simulation Information'!$C$27</f>
        <v>Summer casual</v>
      </c>
      <c r="H19" t="b">
        <v>0</v>
      </c>
      <c r="I19" s="3">
        <v>25</v>
      </c>
      <c r="J19" s="3">
        <v>25.1</v>
      </c>
      <c r="K19" s="3">
        <v>25.2</v>
      </c>
      <c r="L19" s="3">
        <v>25.3</v>
      </c>
      <c r="M19" s="3">
        <v>25.4</v>
      </c>
      <c r="N19" s="3">
        <v>25.5</v>
      </c>
      <c r="O19" s="3">
        <v>25.6</v>
      </c>
      <c r="P19" s="3">
        <v>25.7</v>
      </c>
      <c r="Q19" s="3">
        <v>25.8</v>
      </c>
      <c r="R19" s="3">
        <v>25.9</v>
      </c>
      <c r="S19" s="3">
        <v>26</v>
      </c>
      <c r="T19" s="3">
        <v>26.1</v>
      </c>
      <c r="U19" s="3">
        <v>26.2</v>
      </c>
      <c r="V19" s="3">
        <v>26.3</v>
      </c>
      <c r="W19" s="3">
        <v>26.4</v>
      </c>
      <c r="X19" s="3">
        <v>26.5</v>
      </c>
      <c r="Y19" s="3">
        <v>26.6</v>
      </c>
      <c r="Z19" s="3">
        <v>26.6</v>
      </c>
      <c r="AA19" s="3">
        <v>26.5</v>
      </c>
      <c r="AB19" s="3">
        <v>26.4</v>
      </c>
      <c r="AC19" s="3">
        <v>26.3</v>
      </c>
      <c r="AD19" s="3">
        <v>26.2</v>
      </c>
      <c r="AE19" s="3">
        <v>26.1</v>
      </c>
      <c r="AF19" s="3">
        <v>26</v>
      </c>
      <c r="AG19" s="3">
        <v>25.9</v>
      </c>
      <c r="AH19" s="3">
        <v>25.8</v>
      </c>
      <c r="AI19" s="3">
        <v>25.7</v>
      </c>
      <c r="AJ19" s="3">
        <v>25.6</v>
      </c>
      <c r="AK19" s="3">
        <v>25.5</v>
      </c>
      <c r="AL19" s="3">
        <v>25.4</v>
      </c>
      <c r="AM19" s="3">
        <v>25.3</v>
      </c>
      <c r="AN19" s="3">
        <v>25.2</v>
      </c>
      <c r="AO19" s="3">
        <v>25.1</v>
      </c>
      <c r="AP19" s="3">
        <v>25</v>
      </c>
      <c r="AQ19" s="3">
        <v>0.5</v>
      </c>
      <c r="AR19" s="3">
        <v>0.51</v>
      </c>
      <c r="AS19" s="3">
        <v>0.52</v>
      </c>
      <c r="AT19" s="3">
        <v>0.53</v>
      </c>
      <c r="AU19" s="3">
        <v>0.54</v>
      </c>
      <c r="AV19" s="3">
        <v>0.55000000000000004</v>
      </c>
      <c r="AW19" s="3">
        <v>0.56000000000000005</v>
      </c>
      <c r="AX19" s="3">
        <v>0.56999999999999995</v>
      </c>
      <c r="AY19" s="3">
        <v>0.57999999999999996</v>
      </c>
      <c r="AZ19" s="3">
        <v>0.59</v>
      </c>
      <c r="BA19" s="3">
        <v>0.6</v>
      </c>
      <c r="BB19" s="3">
        <v>0.61</v>
      </c>
      <c r="BC19" s="3">
        <v>0.62</v>
      </c>
      <c r="BD19" s="3">
        <v>0.63</v>
      </c>
      <c r="BE19" s="3">
        <v>0.64</v>
      </c>
      <c r="BF19" s="3">
        <v>0.65</v>
      </c>
      <c r="BG19" s="3">
        <v>0.66</v>
      </c>
      <c r="BH19" s="3">
        <v>0.01</v>
      </c>
      <c r="BI19" s="3">
        <v>0.02</v>
      </c>
      <c r="BJ19" s="3">
        <v>0.03</v>
      </c>
      <c r="BK19" s="3">
        <v>0.04</v>
      </c>
      <c r="BL19" s="3">
        <v>0.05</v>
      </c>
      <c r="BM19" s="3">
        <v>0.06</v>
      </c>
      <c r="BN19" s="3">
        <v>7.0000000000000007E-2</v>
      </c>
      <c r="BO19" s="3">
        <v>0.08</v>
      </c>
      <c r="BP19" s="3">
        <v>0.09</v>
      </c>
      <c r="BQ19" s="3">
        <v>0.1</v>
      </c>
      <c r="BR19" s="3">
        <v>0.11</v>
      </c>
      <c r="BS19" s="3">
        <v>0.12</v>
      </c>
      <c r="BT19" s="3">
        <v>0.13</v>
      </c>
      <c r="BU19" s="3">
        <v>0.14000000000000001</v>
      </c>
      <c r="BV19" s="3">
        <v>0.15</v>
      </c>
      <c r="BW19" s="3">
        <v>0.16</v>
      </c>
      <c r="BX19" s="3">
        <v>0.17</v>
      </c>
      <c r="BY19">
        <v>1</v>
      </c>
      <c r="BZ19">
        <v>2</v>
      </c>
      <c r="CA19">
        <v>3</v>
      </c>
      <c r="CB19">
        <v>4</v>
      </c>
      <c r="CC19">
        <v>5</v>
      </c>
      <c r="CD19">
        <v>6</v>
      </c>
      <c r="CE19">
        <v>7</v>
      </c>
      <c r="CF19">
        <v>8</v>
      </c>
      <c r="CG19">
        <v>9</v>
      </c>
      <c r="CH19">
        <v>10</v>
      </c>
      <c r="CI19">
        <v>11</v>
      </c>
      <c r="CJ19">
        <v>12</v>
      </c>
      <c r="CK19">
        <v>13</v>
      </c>
      <c r="CL19">
        <v>14</v>
      </c>
      <c r="CM19">
        <v>15</v>
      </c>
      <c r="CN19">
        <v>16</v>
      </c>
      <c r="CO19">
        <v>17</v>
      </c>
    </row>
    <row r="20" spans="1:93">
      <c r="A20" t="s">
        <v>23</v>
      </c>
      <c r="B20" s="3">
        <v>16</v>
      </c>
      <c r="C20" s="3">
        <v>17</v>
      </c>
      <c r="D20" t="s">
        <v>94</v>
      </c>
      <c r="E20" s="3">
        <v>1.3</v>
      </c>
      <c r="F20" t="s">
        <v>98</v>
      </c>
      <c r="G20" t="str">
        <f>'Simulation Information'!$C$27</f>
        <v>Summer casual</v>
      </c>
      <c r="H20" t="b">
        <v>0</v>
      </c>
      <c r="I20" s="3">
        <v>25</v>
      </c>
      <c r="J20" s="3">
        <v>25.1</v>
      </c>
      <c r="K20" s="3">
        <v>25.2</v>
      </c>
      <c r="L20" s="3">
        <v>25.3</v>
      </c>
      <c r="M20" s="3">
        <v>25.4</v>
      </c>
      <c r="N20" s="3">
        <v>25.5</v>
      </c>
      <c r="O20" s="3">
        <v>25.6</v>
      </c>
      <c r="P20" s="3">
        <v>25.7</v>
      </c>
      <c r="Q20" s="3">
        <v>25.8</v>
      </c>
      <c r="R20" s="3">
        <v>25.9</v>
      </c>
      <c r="S20" s="3">
        <v>26</v>
      </c>
      <c r="T20" s="3">
        <v>26.1</v>
      </c>
      <c r="U20" s="3">
        <v>26.2</v>
      </c>
      <c r="V20" s="3">
        <v>26.3</v>
      </c>
      <c r="W20" s="3">
        <v>26.4</v>
      </c>
      <c r="X20" s="3">
        <v>26.5</v>
      </c>
      <c r="Y20" s="3">
        <v>26.6</v>
      </c>
      <c r="Z20" s="3">
        <v>26.6</v>
      </c>
      <c r="AA20" s="3">
        <v>26.5</v>
      </c>
      <c r="AB20" s="3">
        <v>26.4</v>
      </c>
      <c r="AC20" s="3">
        <v>26.3</v>
      </c>
      <c r="AD20" s="3">
        <v>26.2</v>
      </c>
      <c r="AE20" s="3">
        <v>26.1</v>
      </c>
      <c r="AF20" s="3">
        <v>26</v>
      </c>
      <c r="AG20" s="3">
        <v>25.9</v>
      </c>
      <c r="AH20" s="3">
        <v>25.8</v>
      </c>
      <c r="AI20" s="3">
        <v>25.7</v>
      </c>
      <c r="AJ20" s="3">
        <v>25.6</v>
      </c>
      <c r="AK20" s="3">
        <v>25.5</v>
      </c>
      <c r="AL20" s="3">
        <v>25.4</v>
      </c>
      <c r="AM20" s="3">
        <v>25.3</v>
      </c>
      <c r="AN20" s="3">
        <v>25.2</v>
      </c>
      <c r="AO20" s="3">
        <v>25.1</v>
      </c>
      <c r="AP20" s="3">
        <v>25</v>
      </c>
      <c r="AQ20" s="3">
        <v>0.5</v>
      </c>
      <c r="AR20" s="3">
        <v>0.51</v>
      </c>
      <c r="AS20" s="3">
        <v>0.52</v>
      </c>
      <c r="AT20" s="3">
        <v>0.53</v>
      </c>
      <c r="AU20" s="3">
        <v>0.54</v>
      </c>
      <c r="AV20" s="3">
        <v>0.55000000000000004</v>
      </c>
      <c r="AW20" s="3">
        <v>0.56000000000000005</v>
      </c>
      <c r="AX20" s="3">
        <v>0.56999999999999995</v>
      </c>
      <c r="AY20" s="3">
        <v>0.57999999999999996</v>
      </c>
      <c r="AZ20" s="3">
        <v>0.59</v>
      </c>
      <c r="BA20" s="3">
        <v>0.6</v>
      </c>
      <c r="BB20" s="3">
        <v>0.61</v>
      </c>
      <c r="BC20" s="3">
        <v>0.62</v>
      </c>
      <c r="BD20" s="3">
        <v>0.63</v>
      </c>
      <c r="BE20" s="3">
        <v>0.64</v>
      </c>
      <c r="BF20" s="3">
        <v>0.65</v>
      </c>
      <c r="BG20" s="3">
        <v>0.66</v>
      </c>
      <c r="BH20" s="3">
        <v>0.01</v>
      </c>
      <c r="BI20" s="3">
        <v>0.02</v>
      </c>
      <c r="BJ20" s="3">
        <v>0.03</v>
      </c>
      <c r="BK20" s="3">
        <v>0.04</v>
      </c>
      <c r="BL20" s="3">
        <v>0.05</v>
      </c>
      <c r="BM20" s="3">
        <v>0.06</v>
      </c>
      <c r="BN20" s="3">
        <v>7.0000000000000007E-2</v>
      </c>
      <c r="BO20" s="3">
        <v>0.08</v>
      </c>
      <c r="BP20" s="3">
        <v>0.09</v>
      </c>
      <c r="BQ20" s="3">
        <v>0.1</v>
      </c>
      <c r="BR20" s="3">
        <v>0.11</v>
      </c>
      <c r="BS20" s="3">
        <v>0.12</v>
      </c>
      <c r="BT20" s="3">
        <v>0.13</v>
      </c>
      <c r="BU20" s="3">
        <v>0.14000000000000001</v>
      </c>
      <c r="BV20" s="3">
        <v>0.15</v>
      </c>
      <c r="BW20" s="3">
        <v>0.16</v>
      </c>
      <c r="BX20" s="3">
        <v>0.17</v>
      </c>
      <c r="BY20">
        <v>1</v>
      </c>
      <c r="BZ20">
        <v>2</v>
      </c>
      <c r="CA20">
        <v>3</v>
      </c>
      <c r="CB20">
        <v>4</v>
      </c>
      <c r="CC20">
        <v>5</v>
      </c>
      <c r="CD20">
        <v>6</v>
      </c>
      <c r="CE20">
        <v>7</v>
      </c>
      <c r="CF20">
        <v>8</v>
      </c>
      <c r="CG20">
        <v>9</v>
      </c>
      <c r="CH20">
        <v>10</v>
      </c>
      <c r="CI20">
        <v>11</v>
      </c>
      <c r="CJ20">
        <v>12</v>
      </c>
      <c r="CK20">
        <v>13</v>
      </c>
      <c r="CL20">
        <v>14</v>
      </c>
      <c r="CM20">
        <v>15</v>
      </c>
      <c r="CN20">
        <v>16</v>
      </c>
      <c r="CO20">
        <v>17</v>
      </c>
    </row>
    <row r="21" spans="1:93">
      <c r="A21" t="s">
        <v>23</v>
      </c>
      <c r="B21" s="3">
        <v>17</v>
      </c>
      <c r="C21" s="3">
        <v>18</v>
      </c>
      <c r="D21" t="s">
        <v>94</v>
      </c>
      <c r="E21" s="3">
        <v>1.3</v>
      </c>
      <c r="F21" t="s">
        <v>98</v>
      </c>
      <c r="G21" t="str">
        <f>'Simulation Information'!$C$27</f>
        <v>Summer casual</v>
      </c>
      <c r="H21" t="b">
        <v>0</v>
      </c>
      <c r="I21" s="3">
        <v>25</v>
      </c>
      <c r="J21" s="3">
        <v>25.1</v>
      </c>
      <c r="K21" s="3">
        <v>25.2</v>
      </c>
      <c r="L21" s="3">
        <v>25.3</v>
      </c>
      <c r="M21" s="3">
        <v>25.4</v>
      </c>
      <c r="N21" s="3">
        <v>25.5</v>
      </c>
      <c r="O21" s="3">
        <v>25.6</v>
      </c>
      <c r="P21" s="3">
        <v>25.7</v>
      </c>
      <c r="Q21" s="3">
        <v>25.8</v>
      </c>
      <c r="R21" s="3">
        <v>25.9</v>
      </c>
      <c r="S21" s="3">
        <v>26</v>
      </c>
      <c r="T21" s="3">
        <v>26.1</v>
      </c>
      <c r="U21" s="3">
        <v>26.2</v>
      </c>
      <c r="V21" s="3">
        <v>26.3</v>
      </c>
      <c r="W21" s="3">
        <v>26.4</v>
      </c>
      <c r="X21" s="3">
        <v>26.5</v>
      </c>
      <c r="Y21" s="3">
        <v>26.6</v>
      </c>
      <c r="Z21" s="3">
        <v>26.6</v>
      </c>
      <c r="AA21" s="3">
        <v>26.5</v>
      </c>
      <c r="AB21" s="3">
        <v>26.4</v>
      </c>
      <c r="AC21" s="3">
        <v>26.3</v>
      </c>
      <c r="AD21" s="3">
        <v>26.2</v>
      </c>
      <c r="AE21" s="3">
        <v>26.1</v>
      </c>
      <c r="AF21" s="3">
        <v>26</v>
      </c>
      <c r="AG21" s="3">
        <v>25.9</v>
      </c>
      <c r="AH21" s="3">
        <v>25.8</v>
      </c>
      <c r="AI21" s="3">
        <v>25.7</v>
      </c>
      <c r="AJ21" s="3">
        <v>25.6</v>
      </c>
      <c r="AK21" s="3">
        <v>25.5</v>
      </c>
      <c r="AL21" s="3">
        <v>25.4</v>
      </c>
      <c r="AM21" s="3">
        <v>25.3</v>
      </c>
      <c r="AN21" s="3">
        <v>25.2</v>
      </c>
      <c r="AO21" s="3">
        <v>25.1</v>
      </c>
      <c r="AP21" s="3">
        <v>25</v>
      </c>
      <c r="AQ21" s="3">
        <v>0.5</v>
      </c>
      <c r="AR21" s="3">
        <v>0.51</v>
      </c>
      <c r="AS21" s="3">
        <v>0.52</v>
      </c>
      <c r="AT21" s="3">
        <v>0.53</v>
      </c>
      <c r="AU21" s="3">
        <v>0.54</v>
      </c>
      <c r="AV21" s="3">
        <v>0.55000000000000004</v>
      </c>
      <c r="AW21" s="3">
        <v>0.56000000000000005</v>
      </c>
      <c r="AX21" s="3">
        <v>0.56999999999999995</v>
      </c>
      <c r="AY21" s="3">
        <v>0.57999999999999996</v>
      </c>
      <c r="AZ21" s="3">
        <v>0.59</v>
      </c>
      <c r="BA21" s="3">
        <v>0.6</v>
      </c>
      <c r="BB21" s="3">
        <v>0.61</v>
      </c>
      <c r="BC21" s="3">
        <v>0.62</v>
      </c>
      <c r="BD21" s="3">
        <v>0.63</v>
      </c>
      <c r="BE21" s="3">
        <v>0.64</v>
      </c>
      <c r="BF21" s="3">
        <v>0.65</v>
      </c>
      <c r="BG21" s="3">
        <v>0.66</v>
      </c>
      <c r="BH21" s="3">
        <v>0.01</v>
      </c>
      <c r="BI21" s="3">
        <v>0.02</v>
      </c>
      <c r="BJ21" s="3">
        <v>0.03</v>
      </c>
      <c r="BK21" s="3">
        <v>0.04</v>
      </c>
      <c r="BL21" s="3">
        <v>0.05</v>
      </c>
      <c r="BM21" s="3">
        <v>0.06</v>
      </c>
      <c r="BN21" s="3">
        <v>7.0000000000000007E-2</v>
      </c>
      <c r="BO21" s="3">
        <v>0.08</v>
      </c>
      <c r="BP21" s="3">
        <v>0.09</v>
      </c>
      <c r="BQ21" s="3">
        <v>0.1</v>
      </c>
      <c r="BR21" s="3">
        <v>0.11</v>
      </c>
      <c r="BS21" s="3">
        <v>0.12</v>
      </c>
      <c r="BT21" s="3">
        <v>0.13</v>
      </c>
      <c r="BU21" s="3">
        <v>0.14000000000000001</v>
      </c>
      <c r="BV21" s="3">
        <v>0.15</v>
      </c>
      <c r="BW21" s="3">
        <v>0.16</v>
      </c>
      <c r="BX21" s="3">
        <v>0.17</v>
      </c>
      <c r="BY21">
        <v>1</v>
      </c>
      <c r="BZ21">
        <v>2</v>
      </c>
      <c r="CA21">
        <v>3</v>
      </c>
      <c r="CB21">
        <v>4</v>
      </c>
      <c r="CC21">
        <v>5</v>
      </c>
      <c r="CD21">
        <v>6</v>
      </c>
      <c r="CE21">
        <v>7</v>
      </c>
      <c r="CF21">
        <v>8</v>
      </c>
      <c r="CG21">
        <v>9</v>
      </c>
      <c r="CH21">
        <v>10</v>
      </c>
      <c r="CI21">
        <v>11</v>
      </c>
      <c r="CJ21">
        <v>12</v>
      </c>
      <c r="CK21">
        <v>13</v>
      </c>
      <c r="CL21">
        <v>14</v>
      </c>
      <c r="CM21">
        <v>15</v>
      </c>
      <c r="CN21">
        <v>16</v>
      </c>
      <c r="CO21">
        <v>17</v>
      </c>
    </row>
    <row r="22" spans="1:93">
      <c r="A22" t="s">
        <v>23</v>
      </c>
      <c r="B22" s="3">
        <v>18</v>
      </c>
      <c r="C22" s="3">
        <v>19</v>
      </c>
      <c r="D22" t="s">
        <v>94</v>
      </c>
      <c r="E22" s="3">
        <v>1.3</v>
      </c>
      <c r="F22" t="s">
        <v>98</v>
      </c>
      <c r="G22" t="str">
        <f>'Simulation Information'!$C$27</f>
        <v>Summer casual</v>
      </c>
      <c r="H22" t="b">
        <v>0</v>
      </c>
      <c r="I22" s="3">
        <v>25</v>
      </c>
      <c r="J22" s="3">
        <v>25.1</v>
      </c>
      <c r="K22" s="3">
        <v>25.2</v>
      </c>
      <c r="L22" s="3">
        <v>25.3</v>
      </c>
      <c r="M22" s="3">
        <v>25.4</v>
      </c>
      <c r="N22" s="3">
        <v>25.5</v>
      </c>
      <c r="O22" s="3">
        <v>25.6</v>
      </c>
      <c r="P22" s="3">
        <v>25.7</v>
      </c>
      <c r="Q22" s="3">
        <v>25.8</v>
      </c>
      <c r="R22" s="3">
        <v>25.9</v>
      </c>
      <c r="S22" s="3">
        <v>26</v>
      </c>
      <c r="T22" s="3">
        <v>26.1</v>
      </c>
      <c r="U22" s="3">
        <v>26.2</v>
      </c>
      <c r="V22" s="3">
        <v>26.3</v>
      </c>
      <c r="W22" s="3">
        <v>26.4</v>
      </c>
      <c r="X22" s="3">
        <v>26.5</v>
      </c>
      <c r="Y22" s="3">
        <v>26.6</v>
      </c>
      <c r="Z22" s="3">
        <v>26.6</v>
      </c>
      <c r="AA22" s="3">
        <v>26.5</v>
      </c>
      <c r="AB22" s="3">
        <v>26.4</v>
      </c>
      <c r="AC22" s="3">
        <v>26.3</v>
      </c>
      <c r="AD22" s="3">
        <v>26.2</v>
      </c>
      <c r="AE22" s="3">
        <v>26.1</v>
      </c>
      <c r="AF22" s="3">
        <v>26</v>
      </c>
      <c r="AG22" s="3">
        <v>25.9</v>
      </c>
      <c r="AH22" s="3">
        <v>25.8</v>
      </c>
      <c r="AI22" s="3">
        <v>25.7</v>
      </c>
      <c r="AJ22" s="3">
        <v>25.6</v>
      </c>
      <c r="AK22" s="3">
        <v>25.5</v>
      </c>
      <c r="AL22" s="3">
        <v>25.4</v>
      </c>
      <c r="AM22" s="3">
        <v>25.3</v>
      </c>
      <c r="AN22" s="3">
        <v>25.2</v>
      </c>
      <c r="AO22" s="3">
        <v>25.1</v>
      </c>
      <c r="AP22" s="3">
        <v>25</v>
      </c>
      <c r="AQ22" s="3">
        <v>0.5</v>
      </c>
      <c r="AR22" s="3">
        <v>0.51</v>
      </c>
      <c r="AS22" s="3">
        <v>0.52</v>
      </c>
      <c r="AT22" s="3">
        <v>0.53</v>
      </c>
      <c r="AU22" s="3">
        <v>0.54</v>
      </c>
      <c r="AV22" s="3">
        <v>0.55000000000000004</v>
      </c>
      <c r="AW22" s="3">
        <v>0.56000000000000005</v>
      </c>
      <c r="AX22" s="3">
        <v>0.56999999999999995</v>
      </c>
      <c r="AY22" s="3">
        <v>0.57999999999999996</v>
      </c>
      <c r="AZ22" s="3">
        <v>0.59</v>
      </c>
      <c r="BA22" s="3">
        <v>0.6</v>
      </c>
      <c r="BB22" s="3">
        <v>0.61</v>
      </c>
      <c r="BC22" s="3">
        <v>0.62</v>
      </c>
      <c r="BD22" s="3">
        <v>0.63</v>
      </c>
      <c r="BE22" s="3">
        <v>0.64</v>
      </c>
      <c r="BF22" s="3">
        <v>0.65</v>
      </c>
      <c r="BG22" s="3">
        <v>0.66</v>
      </c>
      <c r="BH22" s="3">
        <v>0.01</v>
      </c>
      <c r="BI22" s="3">
        <v>0.02</v>
      </c>
      <c r="BJ22" s="3">
        <v>0.03</v>
      </c>
      <c r="BK22" s="3">
        <v>0.04</v>
      </c>
      <c r="BL22" s="3">
        <v>0.05</v>
      </c>
      <c r="BM22" s="3">
        <v>0.06</v>
      </c>
      <c r="BN22" s="3">
        <v>7.0000000000000007E-2</v>
      </c>
      <c r="BO22" s="3">
        <v>0.08</v>
      </c>
      <c r="BP22" s="3">
        <v>0.09</v>
      </c>
      <c r="BQ22" s="3">
        <v>0.1</v>
      </c>
      <c r="BR22" s="3">
        <v>0.11</v>
      </c>
      <c r="BS22" s="3">
        <v>0.12</v>
      </c>
      <c r="BT22" s="3">
        <v>0.13</v>
      </c>
      <c r="BU22" s="3">
        <v>0.14000000000000001</v>
      </c>
      <c r="BV22" s="3">
        <v>0.15</v>
      </c>
      <c r="BW22" s="3">
        <v>0.16</v>
      </c>
      <c r="BX22" s="3">
        <v>0.17</v>
      </c>
      <c r="BY22">
        <v>1</v>
      </c>
      <c r="BZ22">
        <v>2</v>
      </c>
      <c r="CA22">
        <v>3</v>
      </c>
      <c r="CB22">
        <v>4</v>
      </c>
      <c r="CC22">
        <v>5</v>
      </c>
      <c r="CD22">
        <v>6</v>
      </c>
      <c r="CE22">
        <v>7</v>
      </c>
      <c r="CF22">
        <v>8</v>
      </c>
      <c r="CG22">
        <v>9</v>
      </c>
      <c r="CH22">
        <v>10</v>
      </c>
      <c r="CI22">
        <v>11</v>
      </c>
      <c r="CJ22">
        <v>12</v>
      </c>
      <c r="CK22">
        <v>13</v>
      </c>
      <c r="CL22">
        <v>14</v>
      </c>
      <c r="CM22">
        <v>15</v>
      </c>
      <c r="CN22">
        <v>16</v>
      </c>
      <c r="CO22">
        <v>17</v>
      </c>
    </row>
    <row r="23" spans="1:93">
      <c r="A23" t="s">
        <v>23</v>
      </c>
      <c r="B23" s="3">
        <v>19</v>
      </c>
      <c r="C23" s="3">
        <v>20</v>
      </c>
      <c r="D23" t="s">
        <v>94</v>
      </c>
      <c r="E23" s="3">
        <v>1.3</v>
      </c>
      <c r="F23" t="s">
        <v>98</v>
      </c>
      <c r="G23" t="str">
        <f>'Simulation Information'!$C$27</f>
        <v>Summer casual</v>
      </c>
      <c r="H23" t="b">
        <v>0</v>
      </c>
      <c r="I23" s="3">
        <v>25</v>
      </c>
      <c r="J23" s="3">
        <v>25.1</v>
      </c>
      <c r="K23" s="3">
        <v>25.2</v>
      </c>
      <c r="L23" s="3">
        <v>25.3</v>
      </c>
      <c r="M23" s="3">
        <v>25.4</v>
      </c>
      <c r="N23" s="3">
        <v>25.5</v>
      </c>
      <c r="O23" s="3">
        <v>25.6</v>
      </c>
      <c r="P23" s="3">
        <v>25.7</v>
      </c>
      <c r="Q23" s="3">
        <v>25.8</v>
      </c>
      <c r="R23" s="3">
        <v>25.9</v>
      </c>
      <c r="S23" s="3">
        <v>26</v>
      </c>
      <c r="T23" s="3">
        <v>26.1</v>
      </c>
      <c r="U23" s="3">
        <v>26.2</v>
      </c>
      <c r="V23" s="3">
        <v>26.3</v>
      </c>
      <c r="W23" s="3">
        <v>26.4</v>
      </c>
      <c r="X23" s="3">
        <v>26.5</v>
      </c>
      <c r="Y23" s="3">
        <v>26.6</v>
      </c>
      <c r="Z23" s="3">
        <v>26.6</v>
      </c>
      <c r="AA23" s="3">
        <v>26.5</v>
      </c>
      <c r="AB23" s="3">
        <v>26.4</v>
      </c>
      <c r="AC23" s="3">
        <v>26.3</v>
      </c>
      <c r="AD23" s="3">
        <v>26.2</v>
      </c>
      <c r="AE23" s="3">
        <v>26.1</v>
      </c>
      <c r="AF23" s="3">
        <v>26</v>
      </c>
      <c r="AG23" s="3">
        <v>25.9</v>
      </c>
      <c r="AH23" s="3">
        <v>25.8</v>
      </c>
      <c r="AI23" s="3">
        <v>25.7</v>
      </c>
      <c r="AJ23" s="3">
        <v>25.6</v>
      </c>
      <c r="AK23" s="3">
        <v>25.5</v>
      </c>
      <c r="AL23" s="3">
        <v>25.4</v>
      </c>
      <c r="AM23" s="3">
        <v>25.3</v>
      </c>
      <c r="AN23" s="3">
        <v>25.2</v>
      </c>
      <c r="AO23" s="3">
        <v>25.1</v>
      </c>
      <c r="AP23" s="3">
        <v>25</v>
      </c>
      <c r="AQ23" s="3">
        <v>0.5</v>
      </c>
      <c r="AR23" s="3">
        <v>0.51</v>
      </c>
      <c r="AS23" s="3">
        <v>0.52</v>
      </c>
      <c r="AT23" s="3">
        <v>0.53</v>
      </c>
      <c r="AU23" s="3">
        <v>0.54</v>
      </c>
      <c r="AV23" s="3">
        <v>0.55000000000000004</v>
      </c>
      <c r="AW23" s="3">
        <v>0.56000000000000005</v>
      </c>
      <c r="AX23" s="3">
        <v>0.56999999999999995</v>
      </c>
      <c r="AY23" s="3">
        <v>0.57999999999999996</v>
      </c>
      <c r="AZ23" s="3">
        <v>0.59</v>
      </c>
      <c r="BA23" s="3">
        <v>0.6</v>
      </c>
      <c r="BB23" s="3">
        <v>0.61</v>
      </c>
      <c r="BC23" s="3">
        <v>0.62</v>
      </c>
      <c r="BD23" s="3">
        <v>0.63</v>
      </c>
      <c r="BE23" s="3">
        <v>0.64</v>
      </c>
      <c r="BF23" s="3">
        <v>0.65</v>
      </c>
      <c r="BG23" s="3">
        <v>0.66</v>
      </c>
      <c r="BH23" s="3">
        <v>0.01</v>
      </c>
      <c r="BI23" s="3">
        <v>0.02</v>
      </c>
      <c r="BJ23" s="3">
        <v>0.03</v>
      </c>
      <c r="BK23" s="3">
        <v>0.04</v>
      </c>
      <c r="BL23" s="3">
        <v>0.05</v>
      </c>
      <c r="BM23" s="3">
        <v>0.06</v>
      </c>
      <c r="BN23" s="3">
        <v>7.0000000000000007E-2</v>
      </c>
      <c r="BO23" s="3">
        <v>0.08</v>
      </c>
      <c r="BP23" s="3">
        <v>0.09</v>
      </c>
      <c r="BQ23" s="3">
        <v>0.1</v>
      </c>
      <c r="BR23" s="3">
        <v>0.11</v>
      </c>
      <c r="BS23" s="3">
        <v>0.12</v>
      </c>
      <c r="BT23" s="3">
        <v>0.13</v>
      </c>
      <c r="BU23" s="3">
        <v>0.14000000000000001</v>
      </c>
      <c r="BV23" s="3">
        <v>0.15</v>
      </c>
      <c r="BW23" s="3">
        <v>0.16</v>
      </c>
      <c r="BX23" s="3">
        <v>0.17</v>
      </c>
      <c r="BY23">
        <v>1</v>
      </c>
      <c r="BZ23">
        <v>2</v>
      </c>
      <c r="CA23">
        <v>3</v>
      </c>
      <c r="CB23">
        <v>4</v>
      </c>
      <c r="CC23">
        <v>5</v>
      </c>
      <c r="CD23">
        <v>6</v>
      </c>
      <c r="CE23">
        <v>7</v>
      </c>
      <c r="CF23">
        <v>8</v>
      </c>
      <c r="CG23">
        <v>9</v>
      </c>
      <c r="CH23">
        <v>10</v>
      </c>
      <c r="CI23">
        <v>11</v>
      </c>
      <c r="CJ23">
        <v>12</v>
      </c>
      <c r="CK23">
        <v>13</v>
      </c>
      <c r="CL23">
        <v>14</v>
      </c>
      <c r="CM23">
        <v>15</v>
      </c>
      <c r="CN23">
        <v>16</v>
      </c>
      <c r="CO23">
        <v>17</v>
      </c>
    </row>
    <row r="24" spans="1:93">
      <c r="A24" t="s">
        <v>36</v>
      </c>
      <c r="B24" s="3">
        <v>20</v>
      </c>
      <c r="C24" s="3">
        <v>21</v>
      </c>
      <c r="D24" t="s">
        <v>94</v>
      </c>
      <c r="E24" s="3">
        <v>1.3</v>
      </c>
      <c r="F24" t="s">
        <v>98</v>
      </c>
      <c r="G24" t="str">
        <f>'Simulation Information'!$C$27</f>
        <v>Summer casual</v>
      </c>
      <c r="H24" t="b">
        <v>0</v>
      </c>
      <c r="I24" s="3">
        <v>25</v>
      </c>
      <c r="J24" s="3">
        <v>25.1</v>
      </c>
      <c r="K24" s="3">
        <v>25.2</v>
      </c>
      <c r="L24" s="3">
        <v>25.3</v>
      </c>
      <c r="M24" s="3">
        <v>25.4</v>
      </c>
      <c r="N24" s="3">
        <v>25.5</v>
      </c>
      <c r="O24" s="3">
        <v>25.6</v>
      </c>
      <c r="P24" s="3">
        <v>25.7</v>
      </c>
      <c r="Q24" s="3">
        <v>25.8</v>
      </c>
      <c r="R24" s="3">
        <v>25.9</v>
      </c>
      <c r="S24" s="3">
        <v>26</v>
      </c>
      <c r="T24" s="3">
        <v>26.1</v>
      </c>
      <c r="U24" s="3">
        <v>26.2</v>
      </c>
      <c r="V24" s="3">
        <v>26.3</v>
      </c>
      <c r="W24" s="3">
        <v>26.4</v>
      </c>
      <c r="X24" s="3">
        <v>26.5</v>
      </c>
      <c r="Y24" s="3">
        <v>26.6</v>
      </c>
      <c r="Z24" s="3">
        <v>26.6</v>
      </c>
      <c r="AA24" s="3">
        <v>26.5</v>
      </c>
      <c r="AB24" s="3">
        <v>26.4</v>
      </c>
      <c r="AC24" s="3">
        <v>26.3</v>
      </c>
      <c r="AD24" s="3">
        <v>26.2</v>
      </c>
      <c r="AE24" s="3">
        <v>26.1</v>
      </c>
      <c r="AF24" s="3">
        <v>26</v>
      </c>
      <c r="AG24" s="3">
        <v>25.9</v>
      </c>
      <c r="AH24" s="3">
        <v>25.8</v>
      </c>
      <c r="AI24" s="3">
        <v>25.7</v>
      </c>
      <c r="AJ24" s="3">
        <v>25.6</v>
      </c>
      <c r="AK24" s="3">
        <v>25.5</v>
      </c>
      <c r="AL24" s="3">
        <v>25.4</v>
      </c>
      <c r="AM24" s="3">
        <v>25.3</v>
      </c>
      <c r="AN24" s="3">
        <v>25.2</v>
      </c>
      <c r="AO24" s="3">
        <v>25.1</v>
      </c>
      <c r="AP24" s="3">
        <v>25</v>
      </c>
      <c r="AQ24" s="3">
        <v>0.5</v>
      </c>
      <c r="AR24" s="3">
        <v>0.51</v>
      </c>
      <c r="AS24" s="3">
        <v>0.52</v>
      </c>
      <c r="AT24" s="3">
        <v>0.53</v>
      </c>
      <c r="AU24" s="3">
        <v>0.54</v>
      </c>
      <c r="AV24" s="3">
        <v>0.55000000000000004</v>
      </c>
      <c r="AW24" s="3">
        <v>0.56000000000000005</v>
      </c>
      <c r="AX24" s="3">
        <v>0.56999999999999995</v>
      </c>
      <c r="AY24" s="3">
        <v>0.57999999999999996</v>
      </c>
      <c r="AZ24" s="3">
        <v>0.59</v>
      </c>
      <c r="BA24" s="3">
        <v>0.6</v>
      </c>
      <c r="BB24" s="3">
        <v>0.61</v>
      </c>
      <c r="BC24" s="3">
        <v>0.62</v>
      </c>
      <c r="BD24" s="3">
        <v>0.63</v>
      </c>
      <c r="BE24" s="3">
        <v>0.64</v>
      </c>
      <c r="BF24" s="3">
        <v>0.65</v>
      </c>
      <c r="BG24" s="3">
        <v>0.66</v>
      </c>
      <c r="BH24" s="3">
        <v>0.01</v>
      </c>
      <c r="BI24" s="3">
        <v>0.02</v>
      </c>
      <c r="BJ24" s="3">
        <v>0.03</v>
      </c>
      <c r="BK24" s="3">
        <v>0.04</v>
      </c>
      <c r="BL24" s="3">
        <v>0.05</v>
      </c>
      <c r="BM24" s="3">
        <v>0.06</v>
      </c>
      <c r="BN24" s="3">
        <v>7.0000000000000007E-2</v>
      </c>
      <c r="BO24" s="3">
        <v>0.08</v>
      </c>
      <c r="BP24" s="3">
        <v>0.09</v>
      </c>
      <c r="BQ24" s="3">
        <v>0.1</v>
      </c>
      <c r="BR24" s="3">
        <v>0.11</v>
      </c>
      <c r="BS24" s="3">
        <v>0.12</v>
      </c>
      <c r="BT24" s="3">
        <v>0.13</v>
      </c>
      <c r="BU24" s="3">
        <v>0.14000000000000001</v>
      </c>
      <c r="BV24" s="3">
        <v>0.15</v>
      </c>
      <c r="BW24" s="3">
        <v>0.16</v>
      </c>
      <c r="BX24" s="3">
        <v>0.17</v>
      </c>
      <c r="BY24">
        <v>1</v>
      </c>
      <c r="BZ24">
        <v>2</v>
      </c>
      <c r="CA24">
        <v>3</v>
      </c>
      <c r="CB24">
        <v>4</v>
      </c>
      <c r="CC24">
        <v>5</v>
      </c>
      <c r="CD24">
        <v>6</v>
      </c>
      <c r="CE24">
        <v>7</v>
      </c>
      <c r="CF24">
        <v>8</v>
      </c>
      <c r="CG24">
        <v>9</v>
      </c>
      <c r="CH24">
        <v>10</v>
      </c>
      <c r="CI24">
        <v>11</v>
      </c>
      <c r="CJ24">
        <v>12</v>
      </c>
      <c r="CK24">
        <v>13</v>
      </c>
      <c r="CL24">
        <v>14</v>
      </c>
      <c r="CM24">
        <v>15</v>
      </c>
      <c r="CN24">
        <v>16</v>
      </c>
      <c r="CO24">
        <v>17</v>
      </c>
    </row>
    <row r="25" spans="1:93">
      <c r="A25" t="s">
        <v>36</v>
      </c>
      <c r="B25" s="3">
        <v>21</v>
      </c>
      <c r="C25" s="3">
        <v>22</v>
      </c>
      <c r="D25" t="s">
        <v>94</v>
      </c>
      <c r="E25" s="3">
        <v>1.3</v>
      </c>
      <c r="F25" t="s">
        <v>98</v>
      </c>
      <c r="G25" t="str">
        <f>'Simulation Information'!$C$27</f>
        <v>Summer casual</v>
      </c>
      <c r="H25" t="b">
        <v>0</v>
      </c>
      <c r="I25" s="3">
        <v>25</v>
      </c>
      <c r="J25" s="3">
        <v>25.1</v>
      </c>
      <c r="K25" s="3">
        <v>25.2</v>
      </c>
      <c r="L25" s="3">
        <v>25.3</v>
      </c>
      <c r="M25" s="3">
        <v>25.4</v>
      </c>
      <c r="N25" s="3">
        <v>25.5</v>
      </c>
      <c r="O25" s="3">
        <v>25.6</v>
      </c>
      <c r="P25" s="3">
        <v>25.7</v>
      </c>
      <c r="Q25" s="3">
        <v>25.8</v>
      </c>
      <c r="R25" s="3">
        <v>25.9</v>
      </c>
      <c r="S25" s="3">
        <v>26</v>
      </c>
      <c r="T25" s="3">
        <v>26.1</v>
      </c>
      <c r="U25" s="3">
        <v>26.2</v>
      </c>
      <c r="V25" s="3">
        <v>26.3</v>
      </c>
      <c r="W25" s="3">
        <v>26.4</v>
      </c>
      <c r="X25" s="3">
        <v>26.5</v>
      </c>
      <c r="Y25" s="3">
        <v>26.6</v>
      </c>
      <c r="Z25" s="3">
        <v>26.6</v>
      </c>
      <c r="AA25" s="3">
        <v>26.5</v>
      </c>
      <c r="AB25" s="3">
        <v>26.4</v>
      </c>
      <c r="AC25" s="3">
        <v>26.3</v>
      </c>
      <c r="AD25" s="3">
        <v>26.2</v>
      </c>
      <c r="AE25" s="3">
        <v>26.1</v>
      </c>
      <c r="AF25" s="3">
        <v>26</v>
      </c>
      <c r="AG25" s="3">
        <v>25.9</v>
      </c>
      <c r="AH25" s="3">
        <v>25.8</v>
      </c>
      <c r="AI25" s="3">
        <v>25.7</v>
      </c>
      <c r="AJ25" s="3">
        <v>25.6</v>
      </c>
      <c r="AK25" s="3">
        <v>25.5</v>
      </c>
      <c r="AL25" s="3">
        <v>25.4</v>
      </c>
      <c r="AM25" s="3">
        <v>25.3</v>
      </c>
      <c r="AN25" s="3">
        <v>25.2</v>
      </c>
      <c r="AO25" s="3">
        <v>25.1</v>
      </c>
      <c r="AP25" s="3">
        <v>25</v>
      </c>
      <c r="AQ25" s="3">
        <v>0.5</v>
      </c>
      <c r="AR25" s="3">
        <v>0.51</v>
      </c>
      <c r="AS25" s="3">
        <v>0.52</v>
      </c>
      <c r="AT25" s="3">
        <v>0.53</v>
      </c>
      <c r="AU25" s="3">
        <v>0.54</v>
      </c>
      <c r="AV25" s="3">
        <v>0.55000000000000004</v>
      </c>
      <c r="AW25" s="3">
        <v>0.56000000000000005</v>
      </c>
      <c r="AX25" s="3">
        <v>0.56999999999999995</v>
      </c>
      <c r="AY25" s="3">
        <v>0.57999999999999996</v>
      </c>
      <c r="AZ25" s="3">
        <v>0.59</v>
      </c>
      <c r="BA25" s="3">
        <v>0.6</v>
      </c>
      <c r="BB25" s="3">
        <v>0.61</v>
      </c>
      <c r="BC25" s="3">
        <v>0.62</v>
      </c>
      <c r="BD25" s="3">
        <v>0.63</v>
      </c>
      <c r="BE25" s="3">
        <v>0.64</v>
      </c>
      <c r="BF25" s="3">
        <v>0.65</v>
      </c>
      <c r="BG25" s="3">
        <v>0.66</v>
      </c>
      <c r="BH25" s="3">
        <v>0.01</v>
      </c>
      <c r="BI25" s="3">
        <v>0.02</v>
      </c>
      <c r="BJ25" s="3">
        <v>0.03</v>
      </c>
      <c r="BK25" s="3">
        <v>0.04</v>
      </c>
      <c r="BL25" s="3">
        <v>0.05</v>
      </c>
      <c r="BM25" s="3">
        <v>0.06</v>
      </c>
      <c r="BN25" s="3">
        <v>7.0000000000000007E-2</v>
      </c>
      <c r="BO25" s="3">
        <v>0.08</v>
      </c>
      <c r="BP25" s="3">
        <v>0.09</v>
      </c>
      <c r="BQ25" s="3">
        <v>0.1</v>
      </c>
      <c r="BR25" s="3">
        <v>0.11</v>
      </c>
      <c r="BS25" s="3">
        <v>0.12</v>
      </c>
      <c r="BT25" s="3">
        <v>0.13</v>
      </c>
      <c r="BU25" s="3">
        <v>0.14000000000000001</v>
      </c>
      <c r="BV25" s="3">
        <v>0.15</v>
      </c>
      <c r="BW25" s="3">
        <v>0.16</v>
      </c>
      <c r="BX25" s="3">
        <v>0.17</v>
      </c>
      <c r="BY25">
        <v>1</v>
      </c>
      <c r="BZ25">
        <v>2</v>
      </c>
      <c r="CA25">
        <v>3</v>
      </c>
      <c r="CB25">
        <v>4</v>
      </c>
      <c r="CC25">
        <v>5</v>
      </c>
      <c r="CD25">
        <v>6</v>
      </c>
      <c r="CE25">
        <v>7</v>
      </c>
      <c r="CF25">
        <v>8</v>
      </c>
      <c r="CG25">
        <v>9</v>
      </c>
      <c r="CH25">
        <v>10</v>
      </c>
      <c r="CI25">
        <v>11</v>
      </c>
      <c r="CJ25">
        <v>12</v>
      </c>
      <c r="CK25">
        <v>13</v>
      </c>
      <c r="CL25">
        <v>14</v>
      </c>
      <c r="CM25">
        <v>15</v>
      </c>
      <c r="CN25">
        <v>16</v>
      </c>
      <c r="CO25">
        <v>17</v>
      </c>
    </row>
    <row r="26" spans="1:93">
      <c r="A26" t="s">
        <v>36</v>
      </c>
      <c r="B26" s="3">
        <v>22</v>
      </c>
      <c r="C26" s="3">
        <v>23</v>
      </c>
      <c r="D26" t="s">
        <v>94</v>
      </c>
      <c r="E26" s="3">
        <v>1.3</v>
      </c>
      <c r="F26" t="s">
        <v>98</v>
      </c>
      <c r="G26" t="str">
        <f>'Simulation Information'!$C$27</f>
        <v>Summer casual</v>
      </c>
      <c r="H26" t="b">
        <v>0</v>
      </c>
      <c r="I26" s="3">
        <v>25</v>
      </c>
      <c r="J26" s="3">
        <v>25.1</v>
      </c>
      <c r="K26" s="3">
        <v>25.2</v>
      </c>
      <c r="L26" s="3">
        <v>25.3</v>
      </c>
      <c r="M26" s="3">
        <v>25.4</v>
      </c>
      <c r="N26" s="3">
        <v>25.5</v>
      </c>
      <c r="O26" s="3">
        <v>25.6</v>
      </c>
      <c r="P26" s="3">
        <v>25.7</v>
      </c>
      <c r="Q26" s="3">
        <v>25.8</v>
      </c>
      <c r="R26" s="3">
        <v>25.9</v>
      </c>
      <c r="S26" s="3">
        <v>26</v>
      </c>
      <c r="T26" s="3">
        <v>26.1</v>
      </c>
      <c r="U26" s="3">
        <v>26.2</v>
      </c>
      <c r="V26" s="3">
        <v>26.3</v>
      </c>
      <c r="W26" s="3">
        <v>26.4</v>
      </c>
      <c r="X26" s="3">
        <v>26.5</v>
      </c>
      <c r="Y26" s="3">
        <v>26.6</v>
      </c>
      <c r="Z26" s="3">
        <v>26.6</v>
      </c>
      <c r="AA26" s="3">
        <v>26.5</v>
      </c>
      <c r="AB26" s="3">
        <v>26.4</v>
      </c>
      <c r="AC26" s="3">
        <v>26.3</v>
      </c>
      <c r="AD26" s="3">
        <v>26.2</v>
      </c>
      <c r="AE26" s="3">
        <v>26.1</v>
      </c>
      <c r="AF26" s="3">
        <v>26</v>
      </c>
      <c r="AG26" s="3">
        <v>25.9</v>
      </c>
      <c r="AH26" s="3">
        <v>25.8</v>
      </c>
      <c r="AI26" s="3">
        <v>25.7</v>
      </c>
      <c r="AJ26" s="3">
        <v>25.6</v>
      </c>
      <c r="AK26" s="3">
        <v>25.5</v>
      </c>
      <c r="AL26" s="3">
        <v>25.4</v>
      </c>
      <c r="AM26" s="3">
        <v>25.3</v>
      </c>
      <c r="AN26" s="3">
        <v>25.2</v>
      </c>
      <c r="AO26" s="3">
        <v>25.1</v>
      </c>
      <c r="AP26" s="3">
        <v>25</v>
      </c>
      <c r="AQ26" s="3">
        <v>0.5</v>
      </c>
      <c r="AR26" s="3">
        <v>0.51</v>
      </c>
      <c r="AS26" s="3">
        <v>0.52</v>
      </c>
      <c r="AT26" s="3">
        <v>0.53</v>
      </c>
      <c r="AU26" s="3">
        <v>0.54</v>
      </c>
      <c r="AV26" s="3">
        <v>0.55000000000000004</v>
      </c>
      <c r="AW26" s="3">
        <v>0.56000000000000005</v>
      </c>
      <c r="AX26" s="3">
        <v>0.56999999999999995</v>
      </c>
      <c r="AY26" s="3">
        <v>0.57999999999999996</v>
      </c>
      <c r="AZ26" s="3">
        <v>0.59</v>
      </c>
      <c r="BA26" s="3">
        <v>0.6</v>
      </c>
      <c r="BB26" s="3">
        <v>0.61</v>
      </c>
      <c r="BC26" s="3">
        <v>0.62</v>
      </c>
      <c r="BD26" s="3">
        <v>0.63</v>
      </c>
      <c r="BE26" s="3">
        <v>0.64</v>
      </c>
      <c r="BF26" s="3">
        <v>0.65</v>
      </c>
      <c r="BG26" s="3">
        <v>0.66</v>
      </c>
      <c r="BH26" s="3">
        <v>0.01</v>
      </c>
      <c r="BI26" s="3">
        <v>0.02</v>
      </c>
      <c r="BJ26" s="3">
        <v>0.03</v>
      </c>
      <c r="BK26" s="3">
        <v>0.04</v>
      </c>
      <c r="BL26" s="3">
        <v>0.05</v>
      </c>
      <c r="BM26" s="3">
        <v>0.06</v>
      </c>
      <c r="BN26" s="3">
        <v>7.0000000000000007E-2</v>
      </c>
      <c r="BO26" s="3">
        <v>0.08</v>
      </c>
      <c r="BP26" s="3">
        <v>0.09</v>
      </c>
      <c r="BQ26" s="3">
        <v>0.1</v>
      </c>
      <c r="BR26" s="3">
        <v>0.11</v>
      </c>
      <c r="BS26" s="3">
        <v>0.12</v>
      </c>
      <c r="BT26" s="3">
        <v>0.13</v>
      </c>
      <c r="BU26" s="3">
        <v>0.14000000000000001</v>
      </c>
      <c r="BV26" s="3">
        <v>0.15</v>
      </c>
      <c r="BW26" s="3">
        <v>0.16</v>
      </c>
      <c r="BX26" s="3">
        <v>0.17</v>
      </c>
      <c r="BY26">
        <v>1</v>
      </c>
      <c r="BZ26">
        <v>2</v>
      </c>
      <c r="CA26">
        <v>3</v>
      </c>
      <c r="CB26">
        <v>4</v>
      </c>
      <c r="CC26">
        <v>5</v>
      </c>
      <c r="CD26">
        <v>6</v>
      </c>
      <c r="CE26">
        <v>7</v>
      </c>
      <c r="CF26">
        <v>8</v>
      </c>
      <c r="CG26">
        <v>9</v>
      </c>
      <c r="CH26">
        <v>10</v>
      </c>
      <c r="CI26">
        <v>11</v>
      </c>
      <c r="CJ26">
        <v>12</v>
      </c>
      <c r="CK26">
        <v>13</v>
      </c>
      <c r="CL26">
        <v>14</v>
      </c>
      <c r="CM26">
        <v>15</v>
      </c>
      <c r="CN26">
        <v>16</v>
      </c>
      <c r="CO26">
        <v>17</v>
      </c>
    </row>
    <row r="27" spans="1:93">
      <c r="A27" t="s">
        <v>36</v>
      </c>
      <c r="B27" s="3">
        <v>23</v>
      </c>
      <c r="C27" s="3">
        <v>24</v>
      </c>
      <c r="D27" t="s">
        <v>94</v>
      </c>
      <c r="E27" s="3">
        <v>1.3</v>
      </c>
      <c r="F27" t="s">
        <v>98</v>
      </c>
      <c r="G27" t="str">
        <f>'Simulation Information'!$C$27</f>
        <v>Summer casual</v>
      </c>
      <c r="H27" t="b">
        <v>0</v>
      </c>
      <c r="I27" s="3">
        <v>25</v>
      </c>
      <c r="J27" s="3">
        <v>25.1</v>
      </c>
      <c r="K27" s="3">
        <v>25.2</v>
      </c>
      <c r="L27" s="3">
        <v>25.3</v>
      </c>
      <c r="M27" s="3">
        <v>25.4</v>
      </c>
      <c r="N27" s="3">
        <v>25.5</v>
      </c>
      <c r="O27" s="3">
        <v>25.6</v>
      </c>
      <c r="P27" s="3">
        <v>25.7</v>
      </c>
      <c r="Q27" s="3">
        <v>25.8</v>
      </c>
      <c r="R27" s="3">
        <v>25.9</v>
      </c>
      <c r="S27" s="3">
        <v>26</v>
      </c>
      <c r="T27" s="3">
        <v>26.1</v>
      </c>
      <c r="U27" s="3">
        <v>26.2</v>
      </c>
      <c r="V27" s="3">
        <v>26.3</v>
      </c>
      <c r="W27" s="3">
        <v>26.4</v>
      </c>
      <c r="X27" s="3">
        <v>26.5</v>
      </c>
      <c r="Y27" s="3">
        <v>26.6</v>
      </c>
      <c r="Z27" s="3">
        <v>26.6</v>
      </c>
      <c r="AA27" s="3">
        <v>26.5</v>
      </c>
      <c r="AB27" s="3">
        <v>26.4</v>
      </c>
      <c r="AC27" s="3">
        <v>26.3</v>
      </c>
      <c r="AD27" s="3">
        <v>26.2</v>
      </c>
      <c r="AE27" s="3">
        <v>26.1</v>
      </c>
      <c r="AF27" s="3">
        <v>26</v>
      </c>
      <c r="AG27" s="3">
        <v>25.9</v>
      </c>
      <c r="AH27" s="3">
        <v>25.8</v>
      </c>
      <c r="AI27" s="3">
        <v>25.7</v>
      </c>
      <c r="AJ27" s="3">
        <v>25.6</v>
      </c>
      <c r="AK27" s="3">
        <v>25.5</v>
      </c>
      <c r="AL27" s="3">
        <v>25.4</v>
      </c>
      <c r="AM27" s="3">
        <v>25.3</v>
      </c>
      <c r="AN27" s="3">
        <v>25.2</v>
      </c>
      <c r="AO27" s="3">
        <v>25.1</v>
      </c>
      <c r="AP27" s="3">
        <v>25</v>
      </c>
      <c r="AQ27" s="3">
        <v>0.5</v>
      </c>
      <c r="AR27" s="3">
        <v>0.51</v>
      </c>
      <c r="AS27" s="3">
        <v>0.52</v>
      </c>
      <c r="AT27" s="3">
        <v>0.53</v>
      </c>
      <c r="AU27" s="3">
        <v>0.54</v>
      </c>
      <c r="AV27" s="3">
        <v>0.55000000000000004</v>
      </c>
      <c r="AW27" s="3">
        <v>0.56000000000000005</v>
      </c>
      <c r="AX27" s="3">
        <v>0.56999999999999995</v>
      </c>
      <c r="AY27" s="3">
        <v>0.57999999999999996</v>
      </c>
      <c r="AZ27" s="3">
        <v>0.59</v>
      </c>
      <c r="BA27" s="3">
        <v>0.6</v>
      </c>
      <c r="BB27" s="3">
        <v>0.61</v>
      </c>
      <c r="BC27" s="3">
        <v>0.62</v>
      </c>
      <c r="BD27" s="3">
        <v>0.63</v>
      </c>
      <c r="BE27" s="3">
        <v>0.64</v>
      </c>
      <c r="BF27" s="3">
        <v>0.65</v>
      </c>
      <c r="BG27" s="3">
        <v>0.66</v>
      </c>
      <c r="BH27" s="3">
        <v>0.01</v>
      </c>
      <c r="BI27" s="3">
        <v>0.02</v>
      </c>
      <c r="BJ27" s="3">
        <v>0.03</v>
      </c>
      <c r="BK27" s="3">
        <v>0.04</v>
      </c>
      <c r="BL27" s="3">
        <v>0.05</v>
      </c>
      <c r="BM27" s="3">
        <v>0.06</v>
      </c>
      <c r="BN27" s="3">
        <v>7.0000000000000007E-2</v>
      </c>
      <c r="BO27" s="3">
        <v>0.08</v>
      </c>
      <c r="BP27" s="3">
        <v>0.09</v>
      </c>
      <c r="BQ27" s="3">
        <v>0.1</v>
      </c>
      <c r="BR27" s="3">
        <v>0.11</v>
      </c>
      <c r="BS27" s="3">
        <v>0.12</v>
      </c>
      <c r="BT27" s="3">
        <v>0.13</v>
      </c>
      <c r="BU27" s="3">
        <v>0.14000000000000001</v>
      </c>
      <c r="BV27" s="3">
        <v>0.15</v>
      </c>
      <c r="BW27" s="3">
        <v>0.16</v>
      </c>
      <c r="BX27" s="3">
        <v>0.17</v>
      </c>
      <c r="BY27">
        <v>1</v>
      </c>
      <c r="BZ27">
        <v>2</v>
      </c>
      <c r="CA27">
        <v>3</v>
      </c>
      <c r="CB27">
        <v>4</v>
      </c>
      <c r="CC27">
        <v>5</v>
      </c>
      <c r="CD27">
        <v>6</v>
      </c>
      <c r="CE27">
        <v>7</v>
      </c>
      <c r="CF27">
        <v>8</v>
      </c>
      <c r="CG27">
        <v>9</v>
      </c>
      <c r="CH27">
        <v>10</v>
      </c>
      <c r="CI27">
        <v>11</v>
      </c>
      <c r="CJ27">
        <v>12</v>
      </c>
      <c r="CK27">
        <v>13</v>
      </c>
      <c r="CL27">
        <v>14</v>
      </c>
      <c r="CM27">
        <v>15</v>
      </c>
      <c r="CN27">
        <v>16</v>
      </c>
      <c r="CO27">
        <v>17</v>
      </c>
    </row>
    <row r="28" spans="1:93">
      <c r="A28" t="s">
        <v>36</v>
      </c>
      <c r="B28" s="3">
        <v>24</v>
      </c>
      <c r="C28" s="3">
        <v>25</v>
      </c>
      <c r="D28" t="s">
        <v>94</v>
      </c>
      <c r="E28" s="3">
        <v>1.3</v>
      </c>
      <c r="F28" t="s">
        <v>98</v>
      </c>
      <c r="G28" t="str">
        <f>'Simulation Information'!$C$27</f>
        <v>Summer casual</v>
      </c>
      <c r="H28" t="b">
        <v>0</v>
      </c>
      <c r="I28" s="3">
        <v>25</v>
      </c>
      <c r="J28" s="3">
        <v>25.1</v>
      </c>
      <c r="K28" s="3">
        <v>25.2</v>
      </c>
      <c r="L28" s="3">
        <v>25.3</v>
      </c>
      <c r="M28" s="3">
        <v>25.4</v>
      </c>
      <c r="N28" s="3">
        <v>25.5</v>
      </c>
      <c r="O28" s="3">
        <v>25.6</v>
      </c>
      <c r="P28" s="3">
        <v>25.7</v>
      </c>
      <c r="Q28" s="3">
        <v>25.8</v>
      </c>
      <c r="R28" s="3">
        <v>25.9</v>
      </c>
      <c r="S28" s="3">
        <v>26</v>
      </c>
      <c r="T28" s="3">
        <v>26.1</v>
      </c>
      <c r="U28" s="3">
        <v>26.2</v>
      </c>
      <c r="V28" s="3">
        <v>26.3</v>
      </c>
      <c r="W28" s="3">
        <v>26.4</v>
      </c>
      <c r="X28" s="3">
        <v>26.5</v>
      </c>
      <c r="Y28" s="3">
        <v>26.6</v>
      </c>
      <c r="Z28" s="3">
        <v>26.6</v>
      </c>
      <c r="AA28" s="3">
        <v>26.5</v>
      </c>
      <c r="AB28" s="3">
        <v>26.4</v>
      </c>
      <c r="AC28" s="3">
        <v>26.3</v>
      </c>
      <c r="AD28" s="3">
        <v>26.2</v>
      </c>
      <c r="AE28" s="3">
        <v>26.1</v>
      </c>
      <c r="AF28" s="3">
        <v>26</v>
      </c>
      <c r="AG28" s="3">
        <v>25.9</v>
      </c>
      <c r="AH28" s="3">
        <v>25.8</v>
      </c>
      <c r="AI28" s="3">
        <v>25.7</v>
      </c>
      <c r="AJ28" s="3">
        <v>25.6</v>
      </c>
      <c r="AK28" s="3">
        <v>25.5</v>
      </c>
      <c r="AL28" s="3">
        <v>25.4</v>
      </c>
      <c r="AM28" s="3">
        <v>25.3</v>
      </c>
      <c r="AN28" s="3">
        <v>25.2</v>
      </c>
      <c r="AO28" s="3">
        <v>25.1</v>
      </c>
      <c r="AP28" s="3">
        <v>25</v>
      </c>
      <c r="AQ28" s="3">
        <v>0.5</v>
      </c>
      <c r="AR28" s="3">
        <v>0.51</v>
      </c>
      <c r="AS28" s="3">
        <v>0.52</v>
      </c>
      <c r="AT28" s="3">
        <v>0.53</v>
      </c>
      <c r="AU28" s="3">
        <v>0.54</v>
      </c>
      <c r="AV28" s="3">
        <v>0.55000000000000004</v>
      </c>
      <c r="AW28" s="3">
        <v>0.56000000000000005</v>
      </c>
      <c r="AX28" s="3">
        <v>0.56999999999999995</v>
      </c>
      <c r="AY28" s="3">
        <v>0.57999999999999996</v>
      </c>
      <c r="AZ28" s="3">
        <v>0.59</v>
      </c>
      <c r="BA28" s="3">
        <v>0.6</v>
      </c>
      <c r="BB28" s="3">
        <v>0.61</v>
      </c>
      <c r="BC28" s="3">
        <v>0.62</v>
      </c>
      <c r="BD28" s="3">
        <v>0.63</v>
      </c>
      <c r="BE28" s="3">
        <v>0.64</v>
      </c>
      <c r="BF28" s="3">
        <v>0.65</v>
      </c>
      <c r="BG28" s="3">
        <v>0.66</v>
      </c>
      <c r="BH28" s="3">
        <v>0.01</v>
      </c>
      <c r="BI28" s="3">
        <v>0.02</v>
      </c>
      <c r="BJ28" s="3">
        <v>0.03</v>
      </c>
      <c r="BK28" s="3">
        <v>0.04</v>
      </c>
      <c r="BL28" s="3">
        <v>0.05</v>
      </c>
      <c r="BM28" s="3">
        <v>0.06</v>
      </c>
      <c r="BN28" s="3">
        <v>7.0000000000000007E-2</v>
      </c>
      <c r="BO28" s="3">
        <v>0.08</v>
      </c>
      <c r="BP28" s="3">
        <v>0.09</v>
      </c>
      <c r="BQ28" s="3">
        <v>0.1</v>
      </c>
      <c r="BR28" s="3">
        <v>0.11</v>
      </c>
      <c r="BS28" s="3">
        <v>0.12</v>
      </c>
      <c r="BT28" s="3">
        <v>0.13</v>
      </c>
      <c r="BU28" s="3">
        <v>0.14000000000000001</v>
      </c>
      <c r="BV28" s="3">
        <v>0.15</v>
      </c>
      <c r="BW28" s="3">
        <v>0.16</v>
      </c>
      <c r="BX28" s="3">
        <v>0.17</v>
      </c>
      <c r="BY28">
        <v>1</v>
      </c>
      <c r="BZ28">
        <v>2</v>
      </c>
      <c r="CA28">
        <v>3</v>
      </c>
      <c r="CB28">
        <v>4</v>
      </c>
      <c r="CC28">
        <v>5</v>
      </c>
      <c r="CD28">
        <v>6</v>
      </c>
      <c r="CE28">
        <v>7</v>
      </c>
      <c r="CF28">
        <v>8</v>
      </c>
      <c r="CG28">
        <v>9</v>
      </c>
      <c r="CH28">
        <v>10</v>
      </c>
      <c r="CI28">
        <v>11</v>
      </c>
      <c r="CJ28">
        <v>12</v>
      </c>
      <c r="CK28">
        <v>13</v>
      </c>
      <c r="CL28">
        <v>14</v>
      </c>
      <c r="CM28">
        <v>15</v>
      </c>
      <c r="CN28">
        <v>16</v>
      </c>
      <c r="CO28">
        <v>17</v>
      </c>
    </row>
    <row r="29" spans="1:93">
      <c r="A29" t="s">
        <v>36</v>
      </c>
      <c r="B29" s="3">
        <v>25</v>
      </c>
      <c r="C29" s="3">
        <v>26</v>
      </c>
      <c r="D29" t="s">
        <v>94</v>
      </c>
      <c r="E29" s="3">
        <v>1.3</v>
      </c>
      <c r="F29" t="s">
        <v>98</v>
      </c>
      <c r="G29" t="str">
        <f>'Simulation Information'!$C$27</f>
        <v>Summer casual</v>
      </c>
      <c r="H29" t="b">
        <v>0</v>
      </c>
      <c r="I29" s="3">
        <v>25</v>
      </c>
      <c r="J29" s="3">
        <v>25.1</v>
      </c>
      <c r="K29" s="3">
        <v>25.2</v>
      </c>
      <c r="L29" s="3">
        <v>25.3</v>
      </c>
      <c r="M29" s="3">
        <v>25.4</v>
      </c>
      <c r="N29" s="3">
        <v>25.5</v>
      </c>
      <c r="O29" s="3">
        <v>25.6</v>
      </c>
      <c r="P29" s="3">
        <v>25.7</v>
      </c>
      <c r="Q29" s="3">
        <v>25.8</v>
      </c>
      <c r="R29" s="3">
        <v>25.9</v>
      </c>
      <c r="S29" s="3">
        <v>26</v>
      </c>
      <c r="T29" s="3">
        <v>26.1</v>
      </c>
      <c r="U29" s="3">
        <v>26.2</v>
      </c>
      <c r="V29" s="3">
        <v>26.3</v>
      </c>
      <c r="W29" s="3">
        <v>26.4</v>
      </c>
      <c r="X29" s="3">
        <v>26.5</v>
      </c>
      <c r="Y29" s="3">
        <v>26.6</v>
      </c>
      <c r="Z29" s="3">
        <v>26.6</v>
      </c>
      <c r="AA29" s="3">
        <v>26.5</v>
      </c>
      <c r="AB29" s="3">
        <v>26.4</v>
      </c>
      <c r="AC29" s="3">
        <v>26.3</v>
      </c>
      <c r="AD29" s="3">
        <v>26.2</v>
      </c>
      <c r="AE29" s="3">
        <v>26.1</v>
      </c>
      <c r="AF29" s="3">
        <v>26</v>
      </c>
      <c r="AG29" s="3">
        <v>25.9</v>
      </c>
      <c r="AH29" s="3">
        <v>25.8</v>
      </c>
      <c r="AI29" s="3">
        <v>25.7</v>
      </c>
      <c r="AJ29" s="3">
        <v>25.6</v>
      </c>
      <c r="AK29" s="3">
        <v>25.5</v>
      </c>
      <c r="AL29" s="3">
        <v>25.4</v>
      </c>
      <c r="AM29" s="3">
        <v>25.3</v>
      </c>
      <c r="AN29" s="3">
        <v>25.2</v>
      </c>
      <c r="AO29" s="3">
        <v>25.1</v>
      </c>
      <c r="AP29" s="3">
        <v>25</v>
      </c>
      <c r="AQ29" s="3">
        <v>0.5</v>
      </c>
      <c r="AR29" s="3">
        <v>0.51</v>
      </c>
      <c r="AS29" s="3">
        <v>0.52</v>
      </c>
      <c r="AT29" s="3">
        <v>0.53</v>
      </c>
      <c r="AU29" s="3">
        <v>0.54</v>
      </c>
      <c r="AV29" s="3">
        <v>0.55000000000000004</v>
      </c>
      <c r="AW29" s="3">
        <v>0.56000000000000005</v>
      </c>
      <c r="AX29" s="3">
        <v>0.56999999999999995</v>
      </c>
      <c r="AY29" s="3">
        <v>0.57999999999999996</v>
      </c>
      <c r="AZ29" s="3">
        <v>0.59</v>
      </c>
      <c r="BA29" s="3">
        <v>0.6</v>
      </c>
      <c r="BB29" s="3">
        <v>0.61</v>
      </c>
      <c r="BC29" s="3">
        <v>0.62</v>
      </c>
      <c r="BD29" s="3">
        <v>0.63</v>
      </c>
      <c r="BE29" s="3">
        <v>0.64</v>
      </c>
      <c r="BF29" s="3">
        <v>0.65</v>
      </c>
      <c r="BG29" s="3">
        <v>0.66</v>
      </c>
      <c r="BH29" s="3">
        <v>0.01</v>
      </c>
      <c r="BI29" s="3">
        <v>0.02</v>
      </c>
      <c r="BJ29" s="3">
        <v>0.03</v>
      </c>
      <c r="BK29" s="3">
        <v>0.04</v>
      </c>
      <c r="BL29" s="3">
        <v>0.05</v>
      </c>
      <c r="BM29" s="3">
        <v>0.06</v>
      </c>
      <c r="BN29" s="3">
        <v>7.0000000000000007E-2</v>
      </c>
      <c r="BO29" s="3">
        <v>0.08</v>
      </c>
      <c r="BP29" s="3">
        <v>0.09</v>
      </c>
      <c r="BQ29" s="3">
        <v>0.1</v>
      </c>
      <c r="BR29" s="3">
        <v>0.11</v>
      </c>
      <c r="BS29" s="3">
        <v>0.12</v>
      </c>
      <c r="BT29" s="3">
        <v>0.13</v>
      </c>
      <c r="BU29" s="3">
        <v>0.14000000000000001</v>
      </c>
      <c r="BV29" s="3">
        <v>0.15</v>
      </c>
      <c r="BW29" s="3">
        <v>0.16</v>
      </c>
      <c r="BX29" s="3">
        <v>0.17</v>
      </c>
      <c r="BY29">
        <v>1</v>
      </c>
      <c r="BZ29">
        <v>2</v>
      </c>
      <c r="CA29">
        <v>3</v>
      </c>
      <c r="CB29">
        <v>4</v>
      </c>
      <c r="CC29">
        <v>5</v>
      </c>
      <c r="CD29">
        <v>6</v>
      </c>
      <c r="CE29">
        <v>7</v>
      </c>
      <c r="CF29">
        <v>8</v>
      </c>
      <c r="CG29">
        <v>9</v>
      </c>
      <c r="CH29">
        <v>10</v>
      </c>
      <c r="CI29">
        <v>11</v>
      </c>
      <c r="CJ29">
        <v>12</v>
      </c>
      <c r="CK29">
        <v>13</v>
      </c>
      <c r="CL29">
        <v>14</v>
      </c>
      <c r="CM29">
        <v>15</v>
      </c>
      <c r="CN29">
        <v>16</v>
      </c>
      <c r="CO29">
        <v>17</v>
      </c>
    </row>
    <row r="30" spans="1:93">
      <c r="A30" t="s">
        <v>36</v>
      </c>
      <c r="B30" s="3">
        <v>26</v>
      </c>
      <c r="C30" s="3">
        <v>27</v>
      </c>
      <c r="D30" t="s">
        <v>94</v>
      </c>
      <c r="E30" s="3">
        <v>1.3</v>
      </c>
      <c r="F30" t="s">
        <v>98</v>
      </c>
      <c r="G30" t="str">
        <f>'Simulation Information'!$C$27</f>
        <v>Summer casual</v>
      </c>
      <c r="H30" t="b">
        <v>0</v>
      </c>
      <c r="I30" s="3">
        <v>25</v>
      </c>
      <c r="J30" s="3">
        <v>25.1</v>
      </c>
      <c r="K30" s="3">
        <v>25.2</v>
      </c>
      <c r="L30" s="3">
        <v>25.3</v>
      </c>
      <c r="M30" s="3">
        <v>25.4</v>
      </c>
      <c r="N30" s="3">
        <v>25.5</v>
      </c>
      <c r="O30" s="3">
        <v>25.6</v>
      </c>
      <c r="P30" s="3">
        <v>25.7</v>
      </c>
      <c r="Q30" s="3">
        <v>25.8</v>
      </c>
      <c r="R30" s="3">
        <v>25.9</v>
      </c>
      <c r="S30" s="3">
        <v>26</v>
      </c>
      <c r="T30" s="3">
        <v>26.1</v>
      </c>
      <c r="U30" s="3">
        <v>26.2</v>
      </c>
      <c r="V30" s="3">
        <v>26.3</v>
      </c>
      <c r="W30" s="3">
        <v>26.4</v>
      </c>
      <c r="X30" s="3">
        <v>26.5</v>
      </c>
      <c r="Y30" s="3">
        <v>26.6</v>
      </c>
      <c r="Z30" s="3">
        <v>26.6</v>
      </c>
      <c r="AA30" s="3">
        <v>26.5</v>
      </c>
      <c r="AB30" s="3">
        <v>26.4</v>
      </c>
      <c r="AC30" s="3">
        <v>26.3</v>
      </c>
      <c r="AD30" s="3">
        <v>26.2</v>
      </c>
      <c r="AE30" s="3">
        <v>26.1</v>
      </c>
      <c r="AF30" s="3">
        <v>26</v>
      </c>
      <c r="AG30" s="3">
        <v>25.9</v>
      </c>
      <c r="AH30" s="3">
        <v>25.8</v>
      </c>
      <c r="AI30" s="3">
        <v>25.7</v>
      </c>
      <c r="AJ30" s="3">
        <v>25.6</v>
      </c>
      <c r="AK30" s="3">
        <v>25.5</v>
      </c>
      <c r="AL30" s="3">
        <v>25.4</v>
      </c>
      <c r="AM30" s="3">
        <v>25.3</v>
      </c>
      <c r="AN30" s="3">
        <v>25.2</v>
      </c>
      <c r="AO30" s="3">
        <v>25.1</v>
      </c>
      <c r="AP30" s="3">
        <v>25</v>
      </c>
      <c r="AQ30" s="3">
        <v>0.5</v>
      </c>
      <c r="AR30" s="3">
        <v>0.51</v>
      </c>
      <c r="AS30" s="3">
        <v>0.52</v>
      </c>
      <c r="AT30" s="3">
        <v>0.53</v>
      </c>
      <c r="AU30" s="3">
        <v>0.54</v>
      </c>
      <c r="AV30" s="3">
        <v>0.55000000000000004</v>
      </c>
      <c r="AW30" s="3">
        <v>0.56000000000000005</v>
      </c>
      <c r="AX30" s="3">
        <v>0.56999999999999995</v>
      </c>
      <c r="AY30" s="3">
        <v>0.57999999999999996</v>
      </c>
      <c r="AZ30" s="3">
        <v>0.59</v>
      </c>
      <c r="BA30" s="3">
        <v>0.6</v>
      </c>
      <c r="BB30" s="3">
        <v>0.61</v>
      </c>
      <c r="BC30" s="3">
        <v>0.62</v>
      </c>
      <c r="BD30" s="3">
        <v>0.63</v>
      </c>
      <c r="BE30" s="3">
        <v>0.64</v>
      </c>
      <c r="BF30" s="3">
        <v>0.65</v>
      </c>
      <c r="BG30" s="3">
        <v>0.66</v>
      </c>
      <c r="BH30" s="3">
        <v>0.01</v>
      </c>
      <c r="BI30" s="3">
        <v>0.02</v>
      </c>
      <c r="BJ30" s="3">
        <v>0.03</v>
      </c>
      <c r="BK30" s="3">
        <v>0.04</v>
      </c>
      <c r="BL30" s="3">
        <v>0.05</v>
      </c>
      <c r="BM30" s="3">
        <v>0.06</v>
      </c>
      <c r="BN30" s="3">
        <v>7.0000000000000007E-2</v>
      </c>
      <c r="BO30" s="3">
        <v>0.08</v>
      </c>
      <c r="BP30" s="3">
        <v>0.09</v>
      </c>
      <c r="BQ30" s="3">
        <v>0.1</v>
      </c>
      <c r="BR30" s="3">
        <v>0.11</v>
      </c>
      <c r="BS30" s="3">
        <v>0.12</v>
      </c>
      <c r="BT30" s="3">
        <v>0.13</v>
      </c>
      <c r="BU30" s="3">
        <v>0.14000000000000001</v>
      </c>
      <c r="BV30" s="3">
        <v>0.15</v>
      </c>
      <c r="BW30" s="3">
        <v>0.16</v>
      </c>
      <c r="BX30" s="3">
        <v>0.17</v>
      </c>
      <c r="BY30">
        <v>1</v>
      </c>
      <c r="BZ30">
        <v>2</v>
      </c>
      <c r="CA30">
        <v>3</v>
      </c>
      <c r="CB30">
        <v>4</v>
      </c>
      <c r="CC30">
        <v>5</v>
      </c>
      <c r="CD30">
        <v>6</v>
      </c>
      <c r="CE30">
        <v>7</v>
      </c>
      <c r="CF30">
        <v>8</v>
      </c>
      <c r="CG30">
        <v>9</v>
      </c>
      <c r="CH30">
        <v>10</v>
      </c>
      <c r="CI30">
        <v>11</v>
      </c>
      <c r="CJ30">
        <v>12</v>
      </c>
      <c r="CK30">
        <v>13</v>
      </c>
      <c r="CL30">
        <v>14</v>
      </c>
      <c r="CM30">
        <v>15</v>
      </c>
      <c r="CN30">
        <v>16</v>
      </c>
      <c r="CO30">
        <v>17</v>
      </c>
    </row>
    <row r="31" spans="1:93">
      <c r="A31" t="s">
        <v>36</v>
      </c>
      <c r="B31" s="3">
        <v>27</v>
      </c>
      <c r="C31" s="3">
        <v>28</v>
      </c>
      <c r="D31" t="s">
        <v>94</v>
      </c>
      <c r="E31" s="3">
        <v>1.3</v>
      </c>
      <c r="F31" t="s">
        <v>98</v>
      </c>
      <c r="G31" t="str">
        <f>'Simulation Information'!$C$27</f>
        <v>Summer casual</v>
      </c>
      <c r="H31" t="b">
        <v>0</v>
      </c>
      <c r="I31" s="3">
        <v>25</v>
      </c>
      <c r="J31" s="3">
        <v>25.1</v>
      </c>
      <c r="K31" s="3">
        <v>25.2</v>
      </c>
      <c r="L31" s="3">
        <v>25.3</v>
      </c>
      <c r="M31" s="3">
        <v>25.4</v>
      </c>
      <c r="N31" s="3">
        <v>25.5</v>
      </c>
      <c r="O31" s="3">
        <v>25.6</v>
      </c>
      <c r="P31" s="3">
        <v>25.7</v>
      </c>
      <c r="Q31" s="3">
        <v>25.8</v>
      </c>
      <c r="R31" s="3">
        <v>25.9</v>
      </c>
      <c r="S31" s="3">
        <v>26</v>
      </c>
      <c r="T31" s="3">
        <v>26.1</v>
      </c>
      <c r="U31" s="3">
        <v>26.2</v>
      </c>
      <c r="V31" s="3">
        <v>26.3</v>
      </c>
      <c r="W31" s="3">
        <v>26.4</v>
      </c>
      <c r="X31" s="3">
        <v>26.5</v>
      </c>
      <c r="Y31" s="3">
        <v>26.6</v>
      </c>
      <c r="Z31" s="3">
        <v>26.6</v>
      </c>
      <c r="AA31" s="3">
        <v>26.5</v>
      </c>
      <c r="AB31" s="3">
        <v>26.4</v>
      </c>
      <c r="AC31" s="3">
        <v>26.3</v>
      </c>
      <c r="AD31" s="3">
        <v>26.2</v>
      </c>
      <c r="AE31" s="3">
        <v>26.1</v>
      </c>
      <c r="AF31" s="3">
        <v>26</v>
      </c>
      <c r="AG31" s="3">
        <v>25.9</v>
      </c>
      <c r="AH31" s="3">
        <v>25.8</v>
      </c>
      <c r="AI31" s="3">
        <v>25.7</v>
      </c>
      <c r="AJ31" s="3">
        <v>25.6</v>
      </c>
      <c r="AK31" s="3">
        <v>25.5</v>
      </c>
      <c r="AL31" s="3">
        <v>25.4</v>
      </c>
      <c r="AM31" s="3">
        <v>25.3</v>
      </c>
      <c r="AN31" s="3">
        <v>25.2</v>
      </c>
      <c r="AO31" s="3">
        <v>25.1</v>
      </c>
      <c r="AP31" s="3">
        <v>25</v>
      </c>
      <c r="AQ31" s="3">
        <v>0.5</v>
      </c>
      <c r="AR31" s="3">
        <v>0.51</v>
      </c>
      <c r="AS31" s="3">
        <v>0.52</v>
      </c>
      <c r="AT31" s="3">
        <v>0.53</v>
      </c>
      <c r="AU31" s="3">
        <v>0.54</v>
      </c>
      <c r="AV31" s="3">
        <v>0.55000000000000004</v>
      </c>
      <c r="AW31" s="3">
        <v>0.56000000000000005</v>
      </c>
      <c r="AX31" s="3">
        <v>0.56999999999999995</v>
      </c>
      <c r="AY31" s="3">
        <v>0.57999999999999996</v>
      </c>
      <c r="AZ31" s="3">
        <v>0.59</v>
      </c>
      <c r="BA31" s="3">
        <v>0.6</v>
      </c>
      <c r="BB31" s="3">
        <v>0.61</v>
      </c>
      <c r="BC31" s="3">
        <v>0.62</v>
      </c>
      <c r="BD31" s="3">
        <v>0.63</v>
      </c>
      <c r="BE31" s="3">
        <v>0.64</v>
      </c>
      <c r="BF31" s="3">
        <v>0.65</v>
      </c>
      <c r="BG31" s="3">
        <v>0.66</v>
      </c>
      <c r="BH31" s="3">
        <v>0.01</v>
      </c>
      <c r="BI31" s="3">
        <v>0.02</v>
      </c>
      <c r="BJ31" s="3">
        <v>0.03</v>
      </c>
      <c r="BK31" s="3">
        <v>0.04</v>
      </c>
      <c r="BL31" s="3">
        <v>0.05</v>
      </c>
      <c r="BM31" s="3">
        <v>0.06</v>
      </c>
      <c r="BN31" s="3">
        <v>7.0000000000000007E-2</v>
      </c>
      <c r="BO31" s="3">
        <v>0.08</v>
      </c>
      <c r="BP31" s="3">
        <v>0.09</v>
      </c>
      <c r="BQ31" s="3">
        <v>0.1</v>
      </c>
      <c r="BR31" s="3">
        <v>0.11</v>
      </c>
      <c r="BS31" s="3">
        <v>0.12</v>
      </c>
      <c r="BT31" s="3">
        <v>0.13</v>
      </c>
      <c r="BU31" s="3">
        <v>0.14000000000000001</v>
      </c>
      <c r="BV31" s="3">
        <v>0.15</v>
      </c>
      <c r="BW31" s="3">
        <v>0.16</v>
      </c>
      <c r="BX31" s="3">
        <v>0.17</v>
      </c>
      <c r="BY31">
        <v>1</v>
      </c>
      <c r="BZ31">
        <v>2</v>
      </c>
      <c r="CA31">
        <v>3</v>
      </c>
      <c r="CB31">
        <v>4</v>
      </c>
      <c r="CC31">
        <v>5</v>
      </c>
      <c r="CD31">
        <v>6</v>
      </c>
      <c r="CE31">
        <v>7</v>
      </c>
      <c r="CF31">
        <v>8</v>
      </c>
      <c r="CG31">
        <v>9</v>
      </c>
      <c r="CH31">
        <v>10</v>
      </c>
      <c r="CI31">
        <v>11</v>
      </c>
      <c r="CJ31">
        <v>12</v>
      </c>
      <c r="CK31">
        <v>13</v>
      </c>
      <c r="CL31">
        <v>14</v>
      </c>
      <c r="CM31">
        <v>15</v>
      </c>
      <c r="CN31">
        <v>16</v>
      </c>
      <c r="CO31">
        <v>17</v>
      </c>
    </row>
    <row r="32" spans="1:93">
      <c r="A32" t="s">
        <v>36</v>
      </c>
      <c r="B32" s="3">
        <v>28</v>
      </c>
      <c r="C32" s="3">
        <v>29</v>
      </c>
      <c r="D32" t="s">
        <v>94</v>
      </c>
      <c r="E32" s="3">
        <v>1.3</v>
      </c>
      <c r="F32" t="s">
        <v>98</v>
      </c>
      <c r="G32" t="str">
        <f>'Simulation Information'!$C$27</f>
        <v>Summer casual</v>
      </c>
      <c r="H32" t="b">
        <v>0</v>
      </c>
      <c r="I32" s="3">
        <v>25</v>
      </c>
      <c r="J32" s="3">
        <v>25.1</v>
      </c>
      <c r="K32" s="3">
        <v>25.2</v>
      </c>
      <c r="L32" s="3">
        <v>25.3</v>
      </c>
      <c r="M32" s="3">
        <v>25.4</v>
      </c>
      <c r="N32" s="3">
        <v>25.5</v>
      </c>
      <c r="O32" s="3">
        <v>25.6</v>
      </c>
      <c r="P32" s="3">
        <v>25.7</v>
      </c>
      <c r="Q32" s="3">
        <v>25.8</v>
      </c>
      <c r="R32" s="3">
        <v>25.9</v>
      </c>
      <c r="S32" s="3">
        <v>26</v>
      </c>
      <c r="T32" s="3">
        <v>26.1</v>
      </c>
      <c r="U32" s="3">
        <v>26.2</v>
      </c>
      <c r="V32" s="3">
        <v>26.3</v>
      </c>
      <c r="W32" s="3">
        <v>26.4</v>
      </c>
      <c r="X32" s="3">
        <v>26.5</v>
      </c>
      <c r="Y32" s="3">
        <v>26.6</v>
      </c>
      <c r="Z32" s="3">
        <v>26.6</v>
      </c>
      <c r="AA32" s="3">
        <v>26.5</v>
      </c>
      <c r="AB32" s="3">
        <v>26.4</v>
      </c>
      <c r="AC32" s="3">
        <v>26.3</v>
      </c>
      <c r="AD32" s="3">
        <v>26.2</v>
      </c>
      <c r="AE32" s="3">
        <v>26.1</v>
      </c>
      <c r="AF32" s="3">
        <v>26</v>
      </c>
      <c r="AG32" s="3">
        <v>25.9</v>
      </c>
      <c r="AH32" s="3">
        <v>25.8</v>
      </c>
      <c r="AI32" s="3">
        <v>25.7</v>
      </c>
      <c r="AJ32" s="3">
        <v>25.6</v>
      </c>
      <c r="AK32" s="3">
        <v>25.5</v>
      </c>
      <c r="AL32" s="3">
        <v>25.4</v>
      </c>
      <c r="AM32" s="3">
        <v>25.3</v>
      </c>
      <c r="AN32" s="3">
        <v>25.2</v>
      </c>
      <c r="AO32" s="3">
        <v>25.1</v>
      </c>
      <c r="AP32" s="3">
        <v>25</v>
      </c>
      <c r="AQ32" s="3">
        <v>0.5</v>
      </c>
      <c r="AR32" s="3">
        <v>0.51</v>
      </c>
      <c r="AS32" s="3">
        <v>0.52</v>
      </c>
      <c r="AT32" s="3">
        <v>0.53</v>
      </c>
      <c r="AU32" s="3">
        <v>0.54</v>
      </c>
      <c r="AV32" s="3">
        <v>0.55000000000000004</v>
      </c>
      <c r="AW32" s="3">
        <v>0.56000000000000005</v>
      </c>
      <c r="AX32" s="3">
        <v>0.56999999999999995</v>
      </c>
      <c r="AY32" s="3">
        <v>0.57999999999999996</v>
      </c>
      <c r="AZ32" s="3">
        <v>0.59</v>
      </c>
      <c r="BA32" s="3">
        <v>0.6</v>
      </c>
      <c r="BB32" s="3">
        <v>0.61</v>
      </c>
      <c r="BC32" s="3">
        <v>0.62</v>
      </c>
      <c r="BD32" s="3">
        <v>0.63</v>
      </c>
      <c r="BE32" s="3">
        <v>0.64</v>
      </c>
      <c r="BF32" s="3">
        <v>0.65</v>
      </c>
      <c r="BG32" s="3">
        <v>0.66</v>
      </c>
      <c r="BH32" s="3">
        <v>0.01</v>
      </c>
      <c r="BI32" s="3">
        <v>0.02</v>
      </c>
      <c r="BJ32" s="3">
        <v>0.03</v>
      </c>
      <c r="BK32" s="3">
        <v>0.04</v>
      </c>
      <c r="BL32" s="3">
        <v>0.05</v>
      </c>
      <c r="BM32" s="3">
        <v>0.06</v>
      </c>
      <c r="BN32" s="3">
        <v>7.0000000000000007E-2</v>
      </c>
      <c r="BO32" s="3">
        <v>0.08</v>
      </c>
      <c r="BP32" s="3">
        <v>0.09</v>
      </c>
      <c r="BQ32" s="3">
        <v>0.1</v>
      </c>
      <c r="BR32" s="3">
        <v>0.11</v>
      </c>
      <c r="BS32" s="3">
        <v>0.12</v>
      </c>
      <c r="BT32" s="3">
        <v>0.13</v>
      </c>
      <c r="BU32" s="3">
        <v>0.14000000000000001</v>
      </c>
      <c r="BV32" s="3">
        <v>0.15</v>
      </c>
      <c r="BW32" s="3">
        <v>0.16</v>
      </c>
      <c r="BX32" s="3">
        <v>0.17</v>
      </c>
      <c r="BY32">
        <v>1</v>
      </c>
      <c r="BZ32">
        <v>2</v>
      </c>
      <c r="CA32">
        <v>3</v>
      </c>
      <c r="CB32">
        <v>4</v>
      </c>
      <c r="CC32">
        <v>5</v>
      </c>
      <c r="CD32">
        <v>6</v>
      </c>
      <c r="CE32">
        <v>7</v>
      </c>
      <c r="CF32">
        <v>8</v>
      </c>
      <c r="CG32">
        <v>9</v>
      </c>
      <c r="CH32">
        <v>10</v>
      </c>
      <c r="CI32">
        <v>11</v>
      </c>
      <c r="CJ32">
        <v>12</v>
      </c>
      <c r="CK32">
        <v>13</v>
      </c>
      <c r="CL32">
        <v>14</v>
      </c>
      <c r="CM32">
        <v>15</v>
      </c>
      <c r="CN32">
        <v>16</v>
      </c>
      <c r="CO32">
        <v>17</v>
      </c>
    </row>
    <row r="33" spans="1:93">
      <c r="A33" t="s">
        <v>36</v>
      </c>
      <c r="B33" s="3">
        <v>29</v>
      </c>
      <c r="C33" s="3">
        <v>30</v>
      </c>
      <c r="D33" t="s">
        <v>94</v>
      </c>
      <c r="E33" s="3">
        <v>1.3</v>
      </c>
      <c r="F33" t="s">
        <v>98</v>
      </c>
      <c r="G33" t="str">
        <f>'Simulation Information'!$C$27</f>
        <v>Summer casual</v>
      </c>
      <c r="H33" t="b">
        <v>0</v>
      </c>
      <c r="I33" s="3">
        <v>25</v>
      </c>
      <c r="J33" s="3">
        <v>25.1</v>
      </c>
      <c r="K33" s="3">
        <v>25.2</v>
      </c>
      <c r="L33" s="3">
        <v>25.3</v>
      </c>
      <c r="M33" s="3">
        <v>25.4</v>
      </c>
      <c r="N33" s="3">
        <v>25.5</v>
      </c>
      <c r="O33" s="3">
        <v>25.6</v>
      </c>
      <c r="P33" s="3">
        <v>25.7</v>
      </c>
      <c r="Q33" s="3">
        <v>25.8</v>
      </c>
      <c r="R33" s="3">
        <v>25.9</v>
      </c>
      <c r="S33" s="3">
        <v>26</v>
      </c>
      <c r="T33" s="3">
        <v>26.1</v>
      </c>
      <c r="U33" s="3">
        <v>26.2</v>
      </c>
      <c r="V33" s="3">
        <v>26.3</v>
      </c>
      <c r="W33" s="3">
        <v>26.4</v>
      </c>
      <c r="X33" s="3">
        <v>26.5</v>
      </c>
      <c r="Y33" s="3">
        <v>26.6</v>
      </c>
      <c r="Z33" s="3">
        <v>26.6</v>
      </c>
      <c r="AA33" s="3">
        <v>26.5</v>
      </c>
      <c r="AB33" s="3">
        <v>26.4</v>
      </c>
      <c r="AC33" s="3">
        <v>26.3</v>
      </c>
      <c r="AD33" s="3">
        <v>26.2</v>
      </c>
      <c r="AE33" s="3">
        <v>26.1</v>
      </c>
      <c r="AF33" s="3">
        <v>26</v>
      </c>
      <c r="AG33" s="3">
        <v>25.9</v>
      </c>
      <c r="AH33" s="3">
        <v>25.8</v>
      </c>
      <c r="AI33" s="3">
        <v>25.7</v>
      </c>
      <c r="AJ33" s="3">
        <v>25.6</v>
      </c>
      <c r="AK33" s="3">
        <v>25.5</v>
      </c>
      <c r="AL33" s="3">
        <v>25.4</v>
      </c>
      <c r="AM33" s="3">
        <v>25.3</v>
      </c>
      <c r="AN33" s="3">
        <v>25.2</v>
      </c>
      <c r="AO33" s="3">
        <v>25.1</v>
      </c>
      <c r="AP33" s="3">
        <v>25</v>
      </c>
      <c r="AQ33" s="3">
        <v>0.5</v>
      </c>
      <c r="AR33" s="3">
        <v>0.51</v>
      </c>
      <c r="AS33" s="3">
        <v>0.52</v>
      </c>
      <c r="AT33" s="3">
        <v>0.53</v>
      </c>
      <c r="AU33" s="3">
        <v>0.54</v>
      </c>
      <c r="AV33" s="3">
        <v>0.55000000000000004</v>
      </c>
      <c r="AW33" s="3">
        <v>0.56000000000000005</v>
      </c>
      <c r="AX33" s="3">
        <v>0.56999999999999995</v>
      </c>
      <c r="AY33" s="3">
        <v>0.57999999999999996</v>
      </c>
      <c r="AZ33" s="3">
        <v>0.59</v>
      </c>
      <c r="BA33" s="3">
        <v>0.6</v>
      </c>
      <c r="BB33" s="3">
        <v>0.61</v>
      </c>
      <c r="BC33" s="3">
        <v>0.62</v>
      </c>
      <c r="BD33" s="3">
        <v>0.63</v>
      </c>
      <c r="BE33" s="3">
        <v>0.64</v>
      </c>
      <c r="BF33" s="3">
        <v>0.65</v>
      </c>
      <c r="BG33" s="3">
        <v>0.66</v>
      </c>
      <c r="BH33" s="3">
        <v>0.01</v>
      </c>
      <c r="BI33" s="3">
        <v>0.02</v>
      </c>
      <c r="BJ33" s="3">
        <v>0.03</v>
      </c>
      <c r="BK33" s="3">
        <v>0.04</v>
      </c>
      <c r="BL33" s="3">
        <v>0.05</v>
      </c>
      <c r="BM33" s="3">
        <v>0.06</v>
      </c>
      <c r="BN33" s="3">
        <v>7.0000000000000007E-2</v>
      </c>
      <c r="BO33" s="3">
        <v>0.08</v>
      </c>
      <c r="BP33" s="3">
        <v>0.09</v>
      </c>
      <c r="BQ33" s="3">
        <v>0.1</v>
      </c>
      <c r="BR33" s="3">
        <v>0.11</v>
      </c>
      <c r="BS33" s="3">
        <v>0.12</v>
      </c>
      <c r="BT33" s="3">
        <v>0.13</v>
      </c>
      <c r="BU33" s="3">
        <v>0.14000000000000001</v>
      </c>
      <c r="BV33" s="3">
        <v>0.15</v>
      </c>
      <c r="BW33" s="3">
        <v>0.16</v>
      </c>
      <c r="BX33" s="3">
        <v>0.17</v>
      </c>
      <c r="BY33">
        <v>1</v>
      </c>
      <c r="BZ33">
        <v>2</v>
      </c>
      <c r="CA33">
        <v>3</v>
      </c>
      <c r="CB33">
        <v>4</v>
      </c>
      <c r="CC33">
        <v>5</v>
      </c>
      <c r="CD33">
        <v>6</v>
      </c>
      <c r="CE33">
        <v>7</v>
      </c>
      <c r="CF33">
        <v>8</v>
      </c>
      <c r="CG33">
        <v>9</v>
      </c>
      <c r="CH33">
        <v>10</v>
      </c>
      <c r="CI33">
        <v>11</v>
      </c>
      <c r="CJ33">
        <v>12</v>
      </c>
      <c r="CK33">
        <v>13</v>
      </c>
      <c r="CL33">
        <v>14</v>
      </c>
      <c r="CM33">
        <v>15</v>
      </c>
      <c r="CN33">
        <v>16</v>
      </c>
      <c r="CO33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BFCF0-B856-42FE-8A14-E241C172168E}">
  <sheetPr codeName="Sheet3">
    <tabColor rgb="FFFF0000"/>
  </sheetPr>
  <dimension ref="A1"/>
  <sheetViews>
    <sheetView workbookViewId="0">
      <selection activeCell="I23" sqref="I23"/>
    </sheetView>
  </sheetViews>
  <sheetFormatPr defaultRowHeight="14.25"/>
  <cols>
    <col min="1" max="1" width="11.19921875" bestFit="1" customWidth="1"/>
    <col min="2" max="7" width="11.73046875" bestFit="1" customWidth="1"/>
    <col min="8" max="8" width="3.73046875" bestFit="1" customWidth="1"/>
    <col min="9" max="9" width="13.53125" bestFit="1" customWidth="1"/>
    <col min="10" max="10" width="21.53125" bestFit="1" customWidth="1"/>
    <col min="11" max="11" width="14.86328125" bestFit="1" customWidth="1"/>
    <col min="12" max="12" width="20.53125" bestFit="1" customWidth="1"/>
    <col min="13" max="13" width="23.19921875" bestFit="1" customWidth="1"/>
    <col min="14" max="14" width="12.6640625" bestFit="1" customWidth="1"/>
    <col min="15" max="20" width="11.73046875" bestFit="1" customWidth="1"/>
    <col min="21" max="22" width="12.33203125" bestFit="1" customWidth="1"/>
    <col min="23" max="23" width="11.73046875" bestFit="1" customWidth="1"/>
    <col min="24" max="25" width="12.33203125" bestFit="1" customWidth="1"/>
    <col min="26" max="28" width="11.73046875" bestFit="1" customWidth="1"/>
    <col min="29" max="29" width="17.265625" bestFit="1" customWidth="1"/>
    <col min="30" max="30" width="12.33203125" bestFit="1" customWidth="1"/>
    <col min="31" max="31" width="19.9296875" bestFit="1" customWidth="1"/>
    <col min="32" max="32" width="11.73046875" bestFit="1" customWidth="1"/>
    <col min="33" max="33" width="12.796875" bestFit="1" customWidth="1"/>
    <col min="34" max="34" width="16" bestFit="1" customWidth="1"/>
    <col min="35" max="37" width="11.73046875" bestFit="1" customWidth="1"/>
    <col min="38" max="38" width="17.73046875" bestFit="1" customWidth="1"/>
    <col min="39" max="39" width="12.3984375" bestFit="1" customWidth="1"/>
    <col min="40" max="40" width="20.3984375" bestFit="1" customWidth="1"/>
    <col min="41" max="41" width="11.73046875" bestFit="1" customWidth="1"/>
    <col min="42" max="42" width="13.265625" bestFit="1" customWidth="1"/>
    <col min="43" max="43" width="16.46484375" bestFit="1" customWidth="1"/>
    <col min="44" max="46" width="11.73046875" bestFit="1" customWidth="1"/>
    <col min="47" max="47" width="16.9296875" bestFit="1" customWidth="1"/>
    <col min="48" max="48" width="12.33203125" bestFit="1" customWidth="1"/>
    <col min="49" max="49" width="19.59765625" bestFit="1" customWidth="1"/>
    <col min="50" max="50" width="11.73046875" bestFit="1" customWidth="1"/>
    <col min="51" max="51" width="12.3984375" bestFit="1" customWidth="1"/>
    <col min="52" max="52" width="15.6640625" bestFit="1" customWidth="1"/>
    <col min="53" max="55" width="11.73046875" bestFit="1" customWidth="1"/>
    <col min="56" max="56" width="17.6640625" bestFit="1" customWidth="1"/>
    <col min="57" max="57" width="12.33203125" bestFit="1" customWidth="1"/>
    <col min="58" max="58" width="20.33203125" bestFit="1" customWidth="1"/>
    <col min="59" max="59" width="11.73046875" bestFit="1" customWidth="1"/>
    <col min="60" max="60" width="13.19921875" bestFit="1" customWidth="1"/>
    <col min="61" max="61" width="16.3984375" bestFit="1" customWidth="1"/>
    <col min="62" max="62" width="17" bestFit="1" customWidth="1"/>
    <col min="63" max="63" width="17.265625" bestFit="1" customWidth="1"/>
    <col min="64" max="64" width="16.6640625" bestFit="1" customWidth="1"/>
    <col min="65" max="65" width="24.6640625" bestFit="1" customWidth="1"/>
    <col min="66" max="66" width="19.3984375" bestFit="1" customWidth="1"/>
    <col min="67" max="67" width="27.3984375" bestFit="1" customWidth="1"/>
    <col min="68" max="68" width="16" bestFit="1" customWidth="1"/>
    <col min="69" max="69" width="20.19921875" bestFit="1" customWidth="1"/>
    <col min="70" max="70" width="23.46484375" bestFit="1" customWidth="1"/>
    <col min="71" max="71" width="18.06640625" bestFit="1" customWidth="1"/>
    <col min="72" max="72" width="18.33203125" bestFit="1" customWidth="1"/>
    <col min="73" max="73" width="17.796875" bestFit="1" customWidth="1"/>
    <col min="74" max="74" width="25.796875" bestFit="1" customWidth="1"/>
    <col min="75" max="75" width="20.46484375" bestFit="1" customWidth="1"/>
    <col min="76" max="76" width="28.46484375" bestFit="1" customWidth="1"/>
    <col min="77" max="77" width="17.1328125" bestFit="1" customWidth="1"/>
    <col min="78" max="78" width="21.33203125" bestFit="1" customWidth="1"/>
    <col min="79" max="79" width="24.53125" bestFit="1" customWidth="1"/>
    <col min="80" max="80" width="16.9296875" bestFit="1" customWidth="1"/>
    <col min="81" max="81" width="17.19921875" bestFit="1" customWidth="1"/>
    <col min="82" max="82" width="16.59765625" bestFit="1" customWidth="1"/>
    <col min="83" max="83" width="24.59765625" bestFit="1" customWidth="1"/>
    <col min="84" max="84" width="19.33203125" bestFit="1" customWidth="1"/>
    <col min="85" max="85" width="27.33203125" bestFit="1" customWidth="1"/>
    <col min="86" max="86" width="15.9296875" bestFit="1" customWidth="1"/>
    <col min="87" max="87" width="20.1328125" bestFit="1" customWidth="1"/>
    <col min="88" max="88" width="23.3984375" bestFit="1" customWidth="1"/>
    <col min="89" max="89" width="18" bestFit="1" customWidth="1"/>
    <col min="90" max="90" width="18.265625" bestFit="1" customWidth="1"/>
    <col min="91" max="91" width="17.73046875" bestFit="1" customWidth="1"/>
    <col min="92" max="92" width="25.73046875" bestFit="1" customWidth="1"/>
    <col min="93" max="93" width="20.3984375" bestFit="1" customWidth="1"/>
    <col min="94" max="94" width="28.3984375" bestFit="1" customWidth="1"/>
    <col min="95" max="95" width="17.06640625" bestFit="1" customWidth="1"/>
    <col min="96" max="96" width="21.265625" bestFit="1" customWidth="1"/>
    <col min="97" max="97" width="24.46484375" bestFit="1" customWidth="1"/>
    <col min="98" max="98" width="12.9296875" bestFit="1" customWidth="1"/>
    <col min="99" max="99" width="13.19921875" bestFit="1" customWidth="1"/>
    <col min="100" max="100" width="12.59765625" bestFit="1" customWidth="1"/>
    <col min="101" max="101" width="20.59765625" bestFit="1" customWidth="1"/>
    <col min="102" max="102" width="15.33203125" bestFit="1" customWidth="1"/>
    <col min="103" max="103" width="23.33203125" bestFit="1" customWidth="1"/>
    <col min="104" max="104" width="11.9296875" bestFit="1" customWidth="1"/>
    <col min="105" max="105" width="16.1328125" bestFit="1" customWidth="1"/>
    <col min="106" max="106" width="19.3984375" bestFit="1" customWidth="1"/>
    <col min="107" max="107" width="14" bestFit="1" customWidth="1"/>
    <col min="108" max="108" width="14.265625" bestFit="1" customWidth="1"/>
    <col min="109" max="109" width="13.73046875" bestFit="1" customWidth="1"/>
    <col min="110" max="110" width="21.73046875" bestFit="1" customWidth="1"/>
    <col min="111" max="111" width="16.3984375" bestFit="1" customWidth="1"/>
    <col min="112" max="112" width="24.3984375" bestFit="1" customWidth="1"/>
    <col min="113" max="113" width="13.06640625" bestFit="1" customWidth="1"/>
    <col min="114" max="114" width="17.265625" bestFit="1" customWidth="1"/>
    <col min="115" max="115" width="20.46484375" bestFit="1" customWidth="1"/>
    <col min="116" max="116" width="12.9296875" bestFit="1" customWidth="1"/>
    <col min="117" max="117" width="13.19921875" bestFit="1" customWidth="1"/>
    <col min="118" max="118" width="12.59765625" bestFit="1" customWidth="1"/>
    <col min="119" max="119" width="20.59765625" bestFit="1" customWidth="1"/>
    <col min="120" max="120" width="15.33203125" bestFit="1" customWidth="1"/>
    <col min="121" max="121" width="23.33203125" bestFit="1" customWidth="1"/>
    <col min="122" max="122" width="11.9296875" bestFit="1" customWidth="1"/>
    <col min="123" max="123" width="16.1328125" bestFit="1" customWidth="1"/>
    <col min="124" max="124" width="19.3984375" bestFit="1" customWidth="1"/>
    <col min="125" max="125" width="14" bestFit="1" customWidth="1"/>
    <col min="126" max="126" width="14.265625" bestFit="1" customWidth="1"/>
    <col min="127" max="127" width="13.73046875" bestFit="1" customWidth="1"/>
    <col min="128" max="128" width="21.73046875" bestFit="1" customWidth="1"/>
    <col min="129" max="129" width="16.3984375" bestFit="1" customWidth="1"/>
    <col min="130" max="130" width="24.3984375" bestFit="1" customWidth="1"/>
    <col min="131" max="131" width="13.06640625" bestFit="1" customWidth="1"/>
    <col min="132" max="132" width="17.265625" bestFit="1" customWidth="1"/>
    <col min="133" max="133" width="20.46484375" bestFit="1" customWidth="1"/>
    <col min="134" max="134" width="16.3984375" bestFit="1" customWidth="1"/>
    <col min="135" max="135" width="16.6640625" bestFit="1" customWidth="1"/>
    <col min="136" max="136" width="16.1328125" bestFit="1" customWidth="1"/>
    <col min="137" max="137" width="24.1328125" bestFit="1" customWidth="1"/>
    <col min="138" max="138" width="18.86328125" bestFit="1" customWidth="1"/>
    <col min="139" max="139" width="26.86328125" bestFit="1" customWidth="1"/>
    <col min="140" max="140" width="15.46484375" bestFit="1" customWidth="1"/>
    <col min="141" max="141" width="19.6640625" bestFit="1" customWidth="1"/>
    <col min="142" max="142" width="22.9296875" bestFit="1" customWidth="1"/>
    <col min="143" max="143" width="17.53125" bestFit="1" customWidth="1"/>
    <col min="144" max="144" width="17.796875" bestFit="1" customWidth="1"/>
    <col min="145" max="145" width="17.265625" bestFit="1" customWidth="1"/>
    <col min="146" max="146" width="25.265625" bestFit="1" customWidth="1"/>
    <col min="147" max="147" width="19.9296875" bestFit="1" customWidth="1"/>
    <col min="148" max="148" width="27.9296875" bestFit="1" customWidth="1"/>
    <col min="149" max="149" width="16.53125" bestFit="1" customWidth="1"/>
    <col min="150" max="150" width="20.73046875" bestFit="1" customWidth="1"/>
    <col min="151" max="151" width="24" bestFit="1" customWidth="1"/>
    <col min="152" max="152" width="12.19921875" bestFit="1" customWidth="1"/>
    <col min="153" max="153" width="12.46484375" bestFit="1" customWidth="1"/>
    <col min="154" max="154" width="11.9296875" bestFit="1" customWidth="1"/>
    <col min="155" max="155" width="19.9296875" bestFit="1" customWidth="1"/>
    <col min="156" max="156" width="14.6640625" bestFit="1" customWidth="1"/>
    <col min="157" max="157" width="22.6640625" bestFit="1" customWidth="1"/>
    <col min="158" max="158" width="11.73046875" bestFit="1" customWidth="1"/>
    <col min="159" max="159" width="15.46484375" bestFit="1" customWidth="1"/>
    <col min="160" max="160" width="18.73046875" bestFit="1" customWidth="1"/>
    <col min="161" max="161" width="13.33203125" bestFit="1" customWidth="1"/>
    <col min="162" max="162" width="13.59765625" bestFit="1" customWidth="1"/>
    <col min="163" max="163" width="13.06640625" bestFit="1" customWidth="1"/>
    <col min="164" max="164" width="21.06640625" bestFit="1" customWidth="1"/>
    <col min="165" max="165" width="15.73046875" bestFit="1" customWidth="1"/>
    <col min="166" max="166" width="23.73046875" bestFit="1" customWidth="1"/>
    <col min="167" max="167" width="12.33203125" bestFit="1" customWidth="1"/>
    <col min="168" max="168" width="16.53125" bestFit="1" customWidth="1"/>
    <col min="169" max="169" width="19.79687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25F9-C5B1-45EB-B5BE-904CE994E443}">
  <sheetPr codeName="Sheet6">
    <tabColor theme="8" tint="0.79998168889431442"/>
  </sheetPr>
  <dimension ref="B1:V75"/>
  <sheetViews>
    <sheetView tabSelected="1" zoomScale="85" zoomScaleNormal="85" workbookViewId="0">
      <pane xSplit="4" ySplit="2" topLeftCell="E3" activePane="bottomRight" state="frozen"/>
      <selection activeCell="L58" sqref="L58"/>
      <selection pane="topRight" activeCell="L58" sqref="L58"/>
      <selection pane="bottomLeft" activeCell="L58" sqref="L58"/>
      <selection pane="bottomRight" activeCell="M5" sqref="M5"/>
    </sheetView>
  </sheetViews>
  <sheetFormatPr defaultColWidth="9" defaultRowHeight="24" customHeight="1"/>
  <cols>
    <col min="1" max="1" width="3.1328125" style="42" customWidth="1"/>
    <col min="2" max="2" width="41.6640625" style="43" bestFit="1" customWidth="1"/>
    <col min="3" max="3" width="13.46484375" style="44" bestFit="1" customWidth="1"/>
    <col min="4" max="4" width="51.1328125" style="43" customWidth="1"/>
    <col min="5" max="5" width="11.6640625" style="45" bestFit="1" customWidth="1"/>
    <col min="6" max="6" width="5.53125" style="42" bestFit="1" customWidth="1"/>
    <col min="7" max="7" width="5.3984375" style="46" bestFit="1" customWidth="1"/>
    <col min="8" max="8" width="6" style="42" bestFit="1" customWidth="1"/>
    <col min="9" max="9" width="5.33203125" style="47" bestFit="1" customWidth="1"/>
    <col min="10" max="10" width="6.1328125" style="47" bestFit="1" customWidth="1"/>
    <col min="11" max="11" width="10.46484375" style="47" bestFit="1" customWidth="1"/>
    <col min="12" max="12" width="6.265625" style="47" bestFit="1" customWidth="1"/>
    <col min="13" max="13" width="7.265625" style="47" bestFit="1" customWidth="1"/>
    <col min="14" max="14" width="10.796875" style="47" bestFit="1" customWidth="1"/>
    <col min="15" max="15" width="6.59765625" style="47" bestFit="1" customWidth="1"/>
    <col min="16" max="16" width="7.59765625" style="47" bestFit="1" customWidth="1"/>
    <col min="17" max="17" width="7.46484375" style="47" bestFit="1" customWidth="1"/>
    <col min="18" max="18" width="5.86328125" style="47" bestFit="1" customWidth="1"/>
    <col min="19" max="19" width="6.46484375" style="47" bestFit="1" customWidth="1"/>
    <col min="20" max="20" width="7.73046875" style="47" bestFit="1" customWidth="1"/>
    <col min="21" max="21" width="6.19921875" style="47" bestFit="1" customWidth="1"/>
    <col min="22" max="22" width="6.796875" style="47" bestFit="1" customWidth="1"/>
    <col min="23" max="16384" width="9" style="42"/>
  </cols>
  <sheetData>
    <row r="1" spans="2:22" ht="24" customHeight="1">
      <c r="B1" s="48"/>
      <c r="C1" s="49"/>
      <c r="D1" s="48" t="s">
        <v>180</v>
      </c>
      <c r="E1" s="50"/>
      <c r="F1" s="49">
        <v>1</v>
      </c>
      <c r="G1" s="51">
        <v>2</v>
      </c>
      <c r="H1" s="49">
        <v>3</v>
      </c>
      <c r="I1" s="52">
        <v>4</v>
      </c>
      <c r="J1" s="52">
        <v>5</v>
      </c>
      <c r="K1" s="52">
        <v>6</v>
      </c>
      <c r="L1" s="52">
        <v>7</v>
      </c>
      <c r="M1" s="52">
        <v>8</v>
      </c>
      <c r="N1" s="52">
        <v>9</v>
      </c>
      <c r="O1" s="52">
        <v>10</v>
      </c>
      <c r="P1" s="52">
        <v>11</v>
      </c>
      <c r="Q1" s="52">
        <v>12</v>
      </c>
      <c r="R1" s="52">
        <v>13</v>
      </c>
      <c r="S1" s="52">
        <v>14</v>
      </c>
      <c r="T1" s="52">
        <v>15</v>
      </c>
      <c r="U1" s="52">
        <v>16</v>
      </c>
      <c r="V1" s="52">
        <v>17</v>
      </c>
    </row>
    <row r="2" spans="2:22" ht="24" customHeight="1">
      <c r="B2" s="48" t="s">
        <v>117</v>
      </c>
      <c r="C2" s="49" t="s">
        <v>179</v>
      </c>
      <c r="D2" s="48" t="s">
        <v>181</v>
      </c>
      <c r="E2" s="53" t="s">
        <v>118</v>
      </c>
      <c r="F2" s="49" t="s">
        <v>2</v>
      </c>
      <c r="G2" s="51" t="s">
        <v>22</v>
      </c>
      <c r="H2" s="49" t="s">
        <v>4</v>
      </c>
      <c r="I2" s="52" t="s">
        <v>5</v>
      </c>
      <c r="J2" s="52" t="s">
        <v>6</v>
      </c>
      <c r="K2" s="52" t="s">
        <v>119</v>
      </c>
      <c r="L2" s="52" t="s">
        <v>120</v>
      </c>
      <c r="M2" s="52" t="s">
        <v>121</v>
      </c>
      <c r="N2" s="52" t="s">
        <v>122</v>
      </c>
      <c r="O2" s="52" t="s">
        <v>123</v>
      </c>
      <c r="P2" s="52" t="s">
        <v>124</v>
      </c>
      <c r="Q2" s="52" t="s">
        <v>125</v>
      </c>
      <c r="R2" s="52" t="s">
        <v>126</v>
      </c>
      <c r="S2" s="52" t="s">
        <v>127</v>
      </c>
      <c r="T2" s="52" t="s">
        <v>128</v>
      </c>
      <c r="U2" s="52" t="s">
        <v>129</v>
      </c>
      <c r="V2" s="52" t="s">
        <v>130</v>
      </c>
    </row>
    <row r="3" spans="2:22" ht="37.25" customHeight="1">
      <c r="B3" s="54" t="s">
        <v>178</v>
      </c>
      <c r="C3" s="49">
        <v>1</v>
      </c>
      <c r="D3" s="55" t="s">
        <v>131</v>
      </c>
      <c r="E3" s="56">
        <v>0.01</v>
      </c>
      <c r="F3" s="57">
        <v>0.13</v>
      </c>
      <c r="G3" s="58">
        <v>0.13</v>
      </c>
      <c r="H3" s="57">
        <v>0.01</v>
      </c>
      <c r="I3" s="59">
        <v>0.01</v>
      </c>
      <c r="J3" s="59">
        <v>0.04</v>
      </c>
      <c r="K3" s="59">
        <v>0.02</v>
      </c>
      <c r="L3" s="59">
        <v>0</v>
      </c>
      <c r="M3" s="59">
        <v>0.01</v>
      </c>
      <c r="N3" s="59">
        <v>0.02</v>
      </c>
      <c r="O3" s="59">
        <v>0</v>
      </c>
      <c r="P3" s="59">
        <v>0.01</v>
      </c>
      <c r="Q3" s="59">
        <v>0.01</v>
      </c>
      <c r="R3" s="59">
        <v>0.03</v>
      </c>
      <c r="S3" s="59">
        <v>0.05</v>
      </c>
      <c r="T3" s="59">
        <v>0.01</v>
      </c>
      <c r="U3" s="59">
        <v>0.03</v>
      </c>
      <c r="V3" s="59">
        <v>0.05</v>
      </c>
    </row>
    <row r="4" spans="2:22" ht="37.25" customHeight="1">
      <c r="B4" s="48"/>
      <c r="C4" s="49">
        <v>2</v>
      </c>
      <c r="D4" s="55" t="s">
        <v>132</v>
      </c>
      <c r="E4" s="56">
        <v>-0.02</v>
      </c>
      <c r="F4" s="57">
        <v>0.13</v>
      </c>
      <c r="G4" s="58">
        <v>0.13</v>
      </c>
      <c r="H4" s="57">
        <v>0.05</v>
      </c>
      <c r="I4" s="59">
        <v>-0.14000000000000001</v>
      </c>
      <c r="J4" s="59">
        <v>-0.01</v>
      </c>
      <c r="K4" s="59">
        <v>-0.01</v>
      </c>
      <c r="L4" s="59">
        <v>-0.01</v>
      </c>
      <c r="M4" s="59">
        <v>-0.02</v>
      </c>
      <c r="N4" s="59">
        <v>-0.01</v>
      </c>
      <c r="O4" s="59">
        <v>-0.01</v>
      </c>
      <c r="P4" s="59">
        <v>-0.02</v>
      </c>
      <c r="Q4" s="59">
        <v>-0.1</v>
      </c>
      <c r="R4" s="59">
        <v>0</v>
      </c>
      <c r="S4" s="59">
        <v>0</v>
      </c>
      <c r="T4" s="59">
        <v>-0.1</v>
      </c>
      <c r="U4" s="59">
        <v>0</v>
      </c>
      <c r="V4" s="59">
        <v>0</v>
      </c>
    </row>
    <row r="5" spans="2:22" ht="37.25" customHeight="1">
      <c r="B5" s="48"/>
      <c r="C5" s="49">
        <v>3</v>
      </c>
      <c r="D5" s="55" t="s">
        <v>133</v>
      </c>
      <c r="E5" s="56">
        <v>0.03</v>
      </c>
      <c r="F5" s="57">
        <v>0</v>
      </c>
      <c r="G5" s="58">
        <v>0</v>
      </c>
      <c r="H5" s="57">
        <v>0</v>
      </c>
      <c r="I5" s="59">
        <v>0</v>
      </c>
      <c r="J5" s="59">
        <v>0.24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  <c r="Q5" s="59">
        <v>0.05</v>
      </c>
      <c r="R5" s="59">
        <v>0</v>
      </c>
      <c r="S5" s="59">
        <v>0.05</v>
      </c>
      <c r="T5" s="59">
        <v>0.05</v>
      </c>
      <c r="U5" s="59">
        <v>0</v>
      </c>
      <c r="V5" s="59">
        <v>0.05</v>
      </c>
    </row>
    <row r="6" spans="2:22" ht="37.25" customHeight="1">
      <c r="B6" s="48"/>
      <c r="C6" s="49">
        <v>4</v>
      </c>
      <c r="D6" s="55" t="s">
        <v>134</v>
      </c>
      <c r="E6" s="56">
        <v>0.05</v>
      </c>
      <c r="F6" s="57">
        <v>0</v>
      </c>
      <c r="G6" s="58">
        <v>0</v>
      </c>
      <c r="H6" s="57">
        <v>0.22</v>
      </c>
      <c r="I6" s="59">
        <v>0</v>
      </c>
      <c r="J6" s="59">
        <v>0.18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  <c r="Q6" s="59">
        <v>0.03</v>
      </c>
      <c r="R6" s="59">
        <v>0.03</v>
      </c>
      <c r="S6" s="59">
        <v>0.08</v>
      </c>
      <c r="T6" s="59">
        <v>0.03</v>
      </c>
      <c r="U6" s="59">
        <v>0.03</v>
      </c>
      <c r="V6" s="59">
        <v>0.08</v>
      </c>
    </row>
    <row r="7" spans="2:22" ht="37.25" customHeight="1">
      <c r="B7" s="48"/>
      <c r="C7" s="49">
        <v>5</v>
      </c>
      <c r="D7" s="55" t="s">
        <v>135</v>
      </c>
      <c r="E7" s="56">
        <v>0.22</v>
      </c>
      <c r="F7" s="57">
        <v>0</v>
      </c>
      <c r="G7" s="58">
        <v>0</v>
      </c>
      <c r="H7" s="57">
        <v>0.56999999999999995</v>
      </c>
      <c r="I7" s="59">
        <v>0.27</v>
      </c>
      <c r="J7" s="59">
        <v>0.92</v>
      </c>
      <c r="K7" s="59">
        <v>0.04</v>
      </c>
      <c r="L7" s="59">
        <v>0.02</v>
      </c>
      <c r="M7" s="59">
        <v>0.02</v>
      </c>
      <c r="N7" s="59">
        <v>0.04</v>
      </c>
      <c r="O7" s="59">
        <v>0.02</v>
      </c>
      <c r="P7" s="59">
        <v>0.02</v>
      </c>
      <c r="Q7" s="59">
        <v>0.51</v>
      </c>
      <c r="R7" s="59">
        <v>0.01</v>
      </c>
      <c r="S7" s="59">
        <v>0.38</v>
      </c>
      <c r="T7" s="59">
        <v>0.51</v>
      </c>
      <c r="U7" s="59">
        <v>0.01</v>
      </c>
      <c r="V7" s="59">
        <v>0.38</v>
      </c>
    </row>
    <row r="8" spans="2:22" ht="37.25" customHeight="1">
      <c r="B8" s="48"/>
      <c r="C8" s="49">
        <v>6</v>
      </c>
      <c r="D8" s="55" t="s">
        <v>136</v>
      </c>
      <c r="E8" s="56">
        <v>0.43</v>
      </c>
      <c r="F8" s="57">
        <v>0</v>
      </c>
      <c r="G8" s="58">
        <v>0</v>
      </c>
      <c r="H8" s="57">
        <v>1.43</v>
      </c>
      <c r="I8" s="59">
        <v>1.02</v>
      </c>
      <c r="J8" s="59">
        <v>1.45</v>
      </c>
      <c r="K8" s="59">
        <v>0.28999999999999998</v>
      </c>
      <c r="L8" s="59">
        <v>0.22</v>
      </c>
      <c r="M8" s="59">
        <v>0.01</v>
      </c>
      <c r="N8" s="59">
        <v>0.28999999999999998</v>
      </c>
      <c r="O8" s="59">
        <v>0.22</v>
      </c>
      <c r="P8" s="59">
        <v>0.01</v>
      </c>
      <c r="Q8" s="59">
        <v>0.56999999999999995</v>
      </c>
      <c r="R8" s="59">
        <v>0.01</v>
      </c>
      <c r="S8" s="59">
        <v>0.4</v>
      </c>
      <c r="T8" s="59">
        <v>0.56999999999999995</v>
      </c>
      <c r="U8" s="59">
        <v>0.01</v>
      </c>
      <c r="V8" s="59">
        <v>0.4</v>
      </c>
    </row>
    <row r="9" spans="2:22" ht="37.25" customHeight="1">
      <c r="B9" s="48"/>
      <c r="C9" s="49">
        <v>7</v>
      </c>
      <c r="D9" s="55" t="s">
        <v>137</v>
      </c>
      <c r="E9" s="56">
        <v>0.28999999999999998</v>
      </c>
      <c r="F9" s="57">
        <v>0</v>
      </c>
      <c r="G9" s="58">
        <v>0</v>
      </c>
      <c r="H9" s="57">
        <v>0.85</v>
      </c>
      <c r="I9" s="59">
        <v>0.48</v>
      </c>
      <c r="J9" s="59">
        <v>0.94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</v>
      </c>
      <c r="Q9" s="59">
        <v>0.72</v>
      </c>
      <c r="R9" s="59">
        <v>0</v>
      </c>
      <c r="S9" s="59">
        <v>0.41</v>
      </c>
      <c r="T9" s="59">
        <v>0.72</v>
      </c>
      <c r="U9" s="59">
        <v>0</v>
      </c>
      <c r="V9" s="59">
        <v>0.41</v>
      </c>
    </row>
    <row r="10" spans="2:22" ht="37.25" customHeight="1">
      <c r="B10" s="48"/>
      <c r="C10" s="49">
        <v>8</v>
      </c>
      <c r="D10" s="55" t="s">
        <v>138</v>
      </c>
      <c r="E10" s="56">
        <v>0.52</v>
      </c>
      <c r="F10" s="57">
        <v>0</v>
      </c>
      <c r="G10" s="58">
        <v>0</v>
      </c>
      <c r="H10" s="57">
        <v>1.1399999999999999</v>
      </c>
      <c r="I10" s="59">
        <v>0.84</v>
      </c>
      <c r="J10" s="59">
        <v>1.04</v>
      </c>
      <c r="K10" s="59">
        <v>0.42</v>
      </c>
      <c r="L10" s="59">
        <v>0</v>
      </c>
      <c r="M10" s="59">
        <v>0</v>
      </c>
      <c r="N10" s="59">
        <v>0.42</v>
      </c>
      <c r="O10" s="59">
        <v>0</v>
      </c>
      <c r="P10" s="59">
        <v>0</v>
      </c>
      <c r="Q10" s="59">
        <v>0.57999999999999996</v>
      </c>
      <c r="R10" s="59">
        <v>0.62</v>
      </c>
      <c r="S10" s="59">
        <v>0.82</v>
      </c>
      <c r="T10" s="59">
        <v>0.57999999999999996</v>
      </c>
      <c r="U10" s="59">
        <v>0.62</v>
      </c>
      <c r="V10" s="59">
        <v>0.82</v>
      </c>
    </row>
    <row r="11" spans="2:22" ht="37.25" customHeight="1">
      <c r="B11" s="48"/>
      <c r="C11" s="49">
        <v>9</v>
      </c>
      <c r="D11" s="55" t="s">
        <v>139</v>
      </c>
      <c r="E11" s="56">
        <v>0.53</v>
      </c>
      <c r="F11" s="57">
        <v>0</v>
      </c>
      <c r="G11" s="58">
        <v>0</v>
      </c>
      <c r="H11" s="57">
        <v>1.78</v>
      </c>
      <c r="I11" s="59">
        <v>1.42</v>
      </c>
      <c r="J11" s="59">
        <v>1.19</v>
      </c>
      <c r="K11" s="59">
        <v>0.65</v>
      </c>
      <c r="L11" s="59">
        <v>0.41</v>
      </c>
      <c r="M11" s="59">
        <v>0.05</v>
      </c>
      <c r="N11" s="59">
        <v>0.65</v>
      </c>
      <c r="O11" s="59">
        <v>0.41</v>
      </c>
      <c r="P11" s="59">
        <v>0.05</v>
      </c>
      <c r="Q11" s="59">
        <v>0.77</v>
      </c>
      <c r="R11" s="59">
        <v>0</v>
      </c>
      <c r="S11" s="59">
        <v>0.39</v>
      </c>
      <c r="T11" s="59">
        <v>0.77</v>
      </c>
      <c r="U11" s="59">
        <v>0</v>
      </c>
      <c r="V11" s="59">
        <v>0.39</v>
      </c>
    </row>
    <row r="12" spans="2:22" ht="37.25" customHeight="1">
      <c r="B12" s="48"/>
      <c r="C12" s="49">
        <v>10</v>
      </c>
      <c r="D12" s="55" t="s">
        <v>140</v>
      </c>
      <c r="E12" s="56">
        <v>0.54</v>
      </c>
      <c r="F12" s="57">
        <v>0</v>
      </c>
      <c r="G12" s="58">
        <v>0</v>
      </c>
      <c r="H12" s="57">
        <v>1.49</v>
      </c>
      <c r="I12" s="59">
        <v>1.1000000000000001</v>
      </c>
      <c r="J12" s="59">
        <v>0.91</v>
      </c>
      <c r="K12" s="59">
        <v>0.72</v>
      </c>
      <c r="L12" s="59">
        <v>0.57999999999999996</v>
      </c>
      <c r="M12" s="59">
        <v>0.03</v>
      </c>
      <c r="N12" s="59">
        <v>0.72</v>
      </c>
      <c r="O12" s="59">
        <v>0.57999999999999996</v>
      </c>
      <c r="P12" s="59">
        <v>0.03</v>
      </c>
      <c r="Q12" s="59">
        <v>0.73</v>
      </c>
      <c r="R12" s="59">
        <v>7.0000000000000007E-2</v>
      </c>
      <c r="S12" s="59">
        <v>0.77</v>
      </c>
      <c r="T12" s="59">
        <v>0.73</v>
      </c>
      <c r="U12" s="59">
        <v>7.0000000000000007E-2</v>
      </c>
      <c r="V12" s="59">
        <v>0.77</v>
      </c>
    </row>
    <row r="13" spans="2:22" ht="37.25" customHeight="1">
      <c r="B13" s="48"/>
      <c r="C13" s="49">
        <v>11</v>
      </c>
      <c r="D13" s="55" t="s">
        <v>141</v>
      </c>
      <c r="E13" s="56">
        <v>0.67</v>
      </c>
      <c r="F13" s="57">
        <v>0</v>
      </c>
      <c r="G13" s="58">
        <v>0</v>
      </c>
      <c r="H13" s="57">
        <v>2.0499999999999998</v>
      </c>
      <c r="I13" s="59">
        <v>1.32</v>
      </c>
      <c r="J13" s="59">
        <v>1.39</v>
      </c>
      <c r="K13" s="59">
        <v>1.1399999999999999</v>
      </c>
      <c r="L13" s="59">
        <v>0.63</v>
      </c>
      <c r="M13" s="59">
        <v>0.04</v>
      </c>
      <c r="N13" s="59">
        <v>1.1399999999999999</v>
      </c>
      <c r="O13" s="59">
        <v>0.63</v>
      </c>
      <c r="P13" s="59">
        <v>0.04</v>
      </c>
      <c r="Q13" s="59">
        <v>0.84</v>
      </c>
      <c r="R13" s="59">
        <v>0.05</v>
      </c>
      <c r="S13" s="59">
        <v>0.78</v>
      </c>
      <c r="T13" s="59">
        <v>0.84</v>
      </c>
      <c r="U13" s="59">
        <v>0.05</v>
      </c>
      <c r="V13" s="59">
        <v>0.78</v>
      </c>
    </row>
    <row r="14" spans="2:22" ht="37.25" customHeight="1">
      <c r="B14" s="48"/>
      <c r="C14" s="49">
        <v>12</v>
      </c>
      <c r="D14" s="55" t="s">
        <v>142</v>
      </c>
      <c r="E14" s="56">
        <v>0.31</v>
      </c>
      <c r="F14" s="57">
        <v>0</v>
      </c>
      <c r="G14" s="58">
        <v>0</v>
      </c>
      <c r="H14" s="57">
        <v>0.83</v>
      </c>
      <c r="I14" s="59">
        <v>0.22</v>
      </c>
      <c r="J14" s="59">
        <v>0.99</v>
      </c>
      <c r="K14" s="59">
        <v>0</v>
      </c>
      <c r="L14" s="59">
        <v>0</v>
      </c>
      <c r="M14" s="59">
        <v>0.03</v>
      </c>
      <c r="N14" s="59">
        <v>0</v>
      </c>
      <c r="O14" s="59">
        <v>0</v>
      </c>
      <c r="P14" s="59">
        <v>0.03</v>
      </c>
      <c r="Q14" s="59">
        <v>0.88</v>
      </c>
      <c r="R14" s="59">
        <v>0.05</v>
      </c>
      <c r="S14" s="59">
        <v>0.44</v>
      </c>
      <c r="T14" s="59">
        <v>0.88</v>
      </c>
      <c r="U14" s="59">
        <v>0.05</v>
      </c>
      <c r="V14" s="59">
        <v>0.44</v>
      </c>
    </row>
    <row r="15" spans="2:22" ht="37.25" customHeight="1">
      <c r="B15" s="48"/>
      <c r="C15" s="49">
        <v>13</v>
      </c>
      <c r="D15" s="55" t="s">
        <v>143</v>
      </c>
      <c r="E15" s="56">
        <v>0.52</v>
      </c>
      <c r="F15" s="57">
        <v>0</v>
      </c>
      <c r="G15" s="58">
        <v>0</v>
      </c>
      <c r="H15" s="57">
        <v>1.62</v>
      </c>
      <c r="I15" s="59">
        <v>0.99</v>
      </c>
      <c r="J15" s="59">
        <v>1.41</v>
      </c>
      <c r="K15" s="59">
        <v>0.31</v>
      </c>
      <c r="L15" s="59">
        <v>0.28000000000000003</v>
      </c>
      <c r="M15" s="59">
        <v>0.03</v>
      </c>
      <c r="N15" s="59">
        <v>0.31</v>
      </c>
      <c r="O15" s="59">
        <v>0.28000000000000003</v>
      </c>
      <c r="P15" s="59">
        <v>0.03</v>
      </c>
      <c r="Q15" s="59">
        <v>0.82</v>
      </c>
      <c r="R15" s="59">
        <v>0.04</v>
      </c>
      <c r="S15" s="59">
        <v>0.41</v>
      </c>
      <c r="T15" s="59">
        <v>0.82</v>
      </c>
      <c r="U15" s="59">
        <v>0.04</v>
      </c>
      <c r="V15" s="59">
        <v>0.41</v>
      </c>
    </row>
    <row r="16" spans="2:22" ht="37.25" customHeight="1">
      <c r="B16" s="48"/>
      <c r="C16" s="49">
        <v>14</v>
      </c>
      <c r="D16" s="55" t="s">
        <v>144</v>
      </c>
      <c r="E16" s="56">
        <v>0.62</v>
      </c>
      <c r="F16" s="57">
        <v>0</v>
      </c>
      <c r="G16" s="58">
        <v>0</v>
      </c>
      <c r="H16" s="57">
        <v>1.58</v>
      </c>
      <c r="I16" s="59">
        <v>0.99</v>
      </c>
      <c r="J16" s="59">
        <v>1.31</v>
      </c>
      <c r="K16" s="59">
        <v>0.91</v>
      </c>
      <c r="L16" s="59">
        <v>0.64</v>
      </c>
      <c r="M16" s="59">
        <v>0.04</v>
      </c>
      <c r="N16" s="59">
        <v>0.91</v>
      </c>
      <c r="O16" s="59">
        <v>0.64</v>
      </c>
      <c r="P16" s="59">
        <v>0.04</v>
      </c>
      <c r="Q16" s="59">
        <v>0.87</v>
      </c>
      <c r="R16" s="59">
        <v>0.05</v>
      </c>
      <c r="S16" s="59">
        <v>0.81</v>
      </c>
      <c r="T16" s="59">
        <v>0.87</v>
      </c>
      <c r="U16" s="59">
        <v>0.05</v>
      </c>
      <c r="V16" s="59">
        <v>0.81</v>
      </c>
    </row>
    <row r="17" spans="2:22" ht="37.25" customHeight="1">
      <c r="B17" s="48"/>
      <c r="C17" s="49">
        <v>15</v>
      </c>
      <c r="D17" s="55" t="s">
        <v>145</v>
      </c>
      <c r="E17" s="56">
        <v>0.65</v>
      </c>
      <c r="F17" s="57">
        <v>0.13</v>
      </c>
      <c r="G17" s="58">
        <v>0.13</v>
      </c>
      <c r="H17" s="57">
        <v>1.59</v>
      </c>
      <c r="I17" s="59">
        <v>1.04</v>
      </c>
      <c r="J17" s="59">
        <v>1.36</v>
      </c>
      <c r="K17" s="59">
        <v>0.91</v>
      </c>
      <c r="L17" s="59">
        <v>0.67</v>
      </c>
      <c r="M17" s="59">
        <v>7.0000000000000007E-2</v>
      </c>
      <c r="N17" s="59">
        <v>0.91</v>
      </c>
      <c r="O17" s="59">
        <v>0.67</v>
      </c>
      <c r="P17" s="59">
        <v>7.0000000000000007E-2</v>
      </c>
      <c r="Q17" s="59">
        <v>1.26</v>
      </c>
      <c r="R17" s="59">
        <v>0.12</v>
      </c>
      <c r="S17" s="59">
        <v>0.43</v>
      </c>
      <c r="T17" s="59">
        <v>1.26</v>
      </c>
      <c r="U17" s="59">
        <v>0.12</v>
      </c>
      <c r="V17" s="59">
        <v>0.43</v>
      </c>
    </row>
    <row r="18" spans="2:22" ht="37.25" customHeight="1">
      <c r="B18" s="48"/>
      <c r="C18" s="49">
        <v>16</v>
      </c>
      <c r="D18" s="55" t="s">
        <v>146</v>
      </c>
      <c r="E18" s="56">
        <v>0.69</v>
      </c>
      <c r="F18" s="57">
        <v>0.1</v>
      </c>
      <c r="G18" s="58">
        <v>0.1</v>
      </c>
      <c r="H18" s="57">
        <v>1.33</v>
      </c>
      <c r="I18" s="59">
        <v>0.93</v>
      </c>
      <c r="J18" s="59">
        <v>1.39</v>
      </c>
      <c r="K18" s="59">
        <v>0.79</v>
      </c>
      <c r="L18" s="59">
        <v>0.66</v>
      </c>
      <c r="M18" s="59">
        <v>0.13</v>
      </c>
      <c r="N18" s="59">
        <v>0.79</v>
      </c>
      <c r="O18" s="59">
        <v>0.66</v>
      </c>
      <c r="P18" s="59">
        <v>0.13</v>
      </c>
      <c r="Q18" s="59">
        <v>0.6</v>
      </c>
      <c r="R18" s="59">
        <v>0.56999999999999995</v>
      </c>
      <c r="S18" s="59">
        <v>0.76</v>
      </c>
      <c r="T18" s="59">
        <v>0.6</v>
      </c>
      <c r="U18" s="59">
        <v>0.56999999999999995</v>
      </c>
      <c r="V18" s="59">
        <v>0.76</v>
      </c>
    </row>
    <row r="19" spans="2:22" ht="37.25" customHeight="1">
      <c r="B19" s="48"/>
      <c r="C19" s="49">
        <v>17</v>
      </c>
      <c r="D19" s="55" t="s">
        <v>147</v>
      </c>
      <c r="E19" s="56">
        <v>0.8</v>
      </c>
      <c r="F19" s="57">
        <v>0</v>
      </c>
      <c r="G19" s="58">
        <v>0</v>
      </c>
      <c r="H19" s="57">
        <v>2.4700000000000002</v>
      </c>
      <c r="I19" s="59">
        <v>1.48</v>
      </c>
      <c r="J19" s="59">
        <v>1.58</v>
      </c>
      <c r="K19" s="59">
        <v>0.98</v>
      </c>
      <c r="L19" s="59">
        <v>0.57999999999999996</v>
      </c>
      <c r="M19" s="59">
        <v>0.04</v>
      </c>
      <c r="N19" s="59">
        <v>0.98</v>
      </c>
      <c r="O19" s="59">
        <v>0.57999999999999996</v>
      </c>
      <c r="P19" s="59">
        <v>0.04</v>
      </c>
      <c r="Q19" s="59">
        <v>0.69</v>
      </c>
      <c r="R19" s="59">
        <v>0.65</v>
      </c>
      <c r="S19" s="59">
        <v>0.89</v>
      </c>
      <c r="T19" s="59">
        <v>0.69</v>
      </c>
      <c r="U19" s="59">
        <v>0.65</v>
      </c>
      <c r="V19" s="59">
        <v>0.89</v>
      </c>
    </row>
    <row r="20" spans="2:22" ht="37.25" customHeight="1">
      <c r="B20" s="48"/>
      <c r="C20" s="49">
        <v>18</v>
      </c>
      <c r="D20" s="55" t="s">
        <v>148</v>
      </c>
      <c r="E20" s="56">
        <v>0.83</v>
      </c>
      <c r="F20" s="57">
        <v>0.25</v>
      </c>
      <c r="G20" s="58">
        <v>0.25</v>
      </c>
      <c r="H20" s="57">
        <v>3.88</v>
      </c>
      <c r="I20" s="59">
        <v>2.2799999999999998</v>
      </c>
      <c r="J20" s="59">
        <v>2.0699999999999998</v>
      </c>
      <c r="K20" s="59">
        <v>1.89</v>
      </c>
      <c r="L20" s="59">
        <v>1.41</v>
      </c>
      <c r="M20" s="59">
        <v>0.16</v>
      </c>
      <c r="N20" s="59">
        <v>1.89</v>
      </c>
      <c r="O20" s="59">
        <v>1.41</v>
      </c>
      <c r="P20" s="59">
        <v>0.16</v>
      </c>
      <c r="Q20" s="59">
        <v>0.83</v>
      </c>
      <c r="R20" s="59">
        <v>0.66</v>
      </c>
      <c r="S20" s="59">
        <v>0.86</v>
      </c>
      <c r="T20" s="59">
        <v>0.83</v>
      </c>
      <c r="U20" s="59">
        <v>0.66</v>
      </c>
      <c r="V20" s="59">
        <v>0.86</v>
      </c>
    </row>
    <row r="21" spans="2:22" ht="37.25" customHeight="1">
      <c r="B21" s="48"/>
      <c r="C21" s="49">
        <v>19</v>
      </c>
      <c r="D21" s="55" t="s">
        <v>149</v>
      </c>
      <c r="E21" s="56">
        <v>0.56999999999999995</v>
      </c>
      <c r="F21" s="57">
        <v>0</v>
      </c>
      <c r="G21" s="58">
        <v>0</v>
      </c>
      <c r="H21" s="57">
        <v>1.29</v>
      </c>
      <c r="I21" s="59">
        <v>0.93</v>
      </c>
      <c r="J21" s="59">
        <v>1.3</v>
      </c>
      <c r="K21" s="59">
        <v>0.68</v>
      </c>
      <c r="L21" s="59">
        <v>0</v>
      </c>
      <c r="M21" s="59">
        <v>0</v>
      </c>
      <c r="N21" s="59">
        <v>0.68</v>
      </c>
      <c r="O21" s="59">
        <v>0</v>
      </c>
      <c r="P21" s="59">
        <v>0</v>
      </c>
      <c r="Q21" s="59">
        <v>0.65</v>
      </c>
      <c r="R21" s="59">
        <v>0.47</v>
      </c>
      <c r="S21" s="59">
        <v>0.73</v>
      </c>
      <c r="T21" s="59">
        <v>0.65</v>
      </c>
      <c r="U21" s="59">
        <v>0.47</v>
      </c>
      <c r="V21" s="59">
        <v>0.73</v>
      </c>
    </row>
    <row r="22" spans="2:22" ht="37.25" customHeight="1">
      <c r="B22" s="48"/>
      <c r="C22" s="49">
        <v>20</v>
      </c>
      <c r="D22" s="55" t="s">
        <v>150</v>
      </c>
      <c r="E22" s="56">
        <v>0.74</v>
      </c>
      <c r="F22" s="57">
        <v>0</v>
      </c>
      <c r="G22" s="58">
        <v>0</v>
      </c>
      <c r="H22" s="57">
        <v>1.58</v>
      </c>
      <c r="I22" s="59">
        <v>0.98</v>
      </c>
      <c r="J22" s="59">
        <v>1.35</v>
      </c>
      <c r="K22" s="59">
        <v>0.86</v>
      </c>
      <c r="L22" s="59">
        <v>0.71</v>
      </c>
      <c r="M22" s="59">
        <v>7.0000000000000007E-2</v>
      </c>
      <c r="N22" s="59">
        <v>0.86</v>
      </c>
      <c r="O22" s="59">
        <v>0.71</v>
      </c>
      <c r="P22" s="59">
        <v>7.0000000000000007E-2</v>
      </c>
      <c r="Q22" s="59">
        <v>0.74</v>
      </c>
      <c r="R22" s="59">
        <v>0.48</v>
      </c>
      <c r="S22" s="59">
        <v>0.74</v>
      </c>
      <c r="T22" s="59">
        <v>0.74</v>
      </c>
      <c r="U22" s="59">
        <v>0.48</v>
      </c>
      <c r="V22" s="59">
        <v>0.74</v>
      </c>
    </row>
    <row r="23" spans="2:22" ht="37.25" customHeight="1">
      <c r="B23" s="48"/>
      <c r="C23" s="49">
        <v>21</v>
      </c>
      <c r="D23" s="55" t="s">
        <v>151</v>
      </c>
      <c r="E23" s="56">
        <v>0.83</v>
      </c>
      <c r="F23" s="57">
        <v>0.16</v>
      </c>
      <c r="G23" s="58">
        <v>0.16</v>
      </c>
      <c r="H23" s="57">
        <v>1.39</v>
      </c>
      <c r="I23" s="59">
        <v>1.02</v>
      </c>
      <c r="J23" s="59">
        <v>1.34</v>
      </c>
      <c r="K23" s="59">
        <v>0.83</v>
      </c>
      <c r="L23" s="59">
        <v>0.69</v>
      </c>
      <c r="M23" s="59">
        <v>0.22</v>
      </c>
      <c r="N23" s="59">
        <v>0.83</v>
      </c>
      <c r="O23" s="59">
        <v>0.69</v>
      </c>
      <c r="P23" s="59">
        <v>0.22</v>
      </c>
      <c r="Q23" s="59">
        <v>1.02</v>
      </c>
      <c r="R23" s="59">
        <v>0.68</v>
      </c>
      <c r="S23" s="59">
        <v>0.8</v>
      </c>
      <c r="T23" s="59">
        <v>1.02</v>
      </c>
      <c r="U23" s="59">
        <v>0.68</v>
      </c>
      <c r="V23" s="59">
        <v>0.8</v>
      </c>
    </row>
    <row r="24" spans="2:22" ht="37.25" customHeight="1">
      <c r="B24" s="48"/>
      <c r="C24" s="49">
        <v>22</v>
      </c>
      <c r="D24" s="55" t="s">
        <v>152</v>
      </c>
      <c r="E24" s="56">
        <v>0.82</v>
      </c>
      <c r="F24" s="57">
        <v>0</v>
      </c>
      <c r="G24" s="58">
        <v>0</v>
      </c>
      <c r="H24" s="57">
        <v>3.35</v>
      </c>
      <c r="I24" s="59">
        <v>1.73</v>
      </c>
      <c r="J24" s="59">
        <v>1.63</v>
      </c>
      <c r="K24" s="59">
        <v>1.99</v>
      </c>
      <c r="L24" s="59">
        <v>1.49</v>
      </c>
      <c r="M24" s="59">
        <v>0.11</v>
      </c>
      <c r="N24" s="59">
        <v>1.99</v>
      </c>
      <c r="O24" s="59">
        <v>1.49</v>
      </c>
      <c r="P24" s="59">
        <v>0.11</v>
      </c>
      <c r="Q24" s="59">
        <v>0.6</v>
      </c>
      <c r="R24" s="59">
        <v>0.43</v>
      </c>
      <c r="S24" s="59">
        <v>0.68</v>
      </c>
      <c r="T24" s="59">
        <v>0.6</v>
      </c>
      <c r="U24" s="59">
        <v>0.43</v>
      </c>
      <c r="V24" s="59">
        <v>0.68</v>
      </c>
    </row>
    <row r="25" spans="2:22" ht="37.25" customHeight="1">
      <c r="B25" s="48"/>
      <c r="C25" s="49">
        <v>23</v>
      </c>
      <c r="D25" s="55" t="s">
        <v>153</v>
      </c>
      <c r="E25" s="56">
        <v>0.81</v>
      </c>
      <c r="F25" s="57">
        <v>0</v>
      </c>
      <c r="G25" s="58">
        <v>0</v>
      </c>
      <c r="H25" s="57">
        <v>3.6</v>
      </c>
      <c r="I25" s="59">
        <v>1.83</v>
      </c>
      <c r="J25" s="59">
        <v>1.71</v>
      </c>
      <c r="K25" s="59">
        <v>2.16</v>
      </c>
      <c r="L25" s="59">
        <v>1.49</v>
      </c>
      <c r="M25" s="59">
        <v>0.13</v>
      </c>
      <c r="N25" s="59">
        <v>2.16</v>
      </c>
      <c r="O25" s="59">
        <v>1.49</v>
      </c>
      <c r="P25" s="59">
        <v>0.13</v>
      </c>
      <c r="Q25" s="59">
        <v>0.64</v>
      </c>
      <c r="R25" s="59">
        <v>0.43</v>
      </c>
      <c r="S25" s="59">
        <v>0.69</v>
      </c>
      <c r="T25" s="59">
        <v>0.64</v>
      </c>
      <c r="U25" s="59">
        <v>0.43</v>
      </c>
      <c r="V25" s="59">
        <v>0.69</v>
      </c>
    </row>
    <row r="26" spans="2:22" ht="37.25" customHeight="1">
      <c r="B26" s="48"/>
      <c r="C26" s="49">
        <v>24</v>
      </c>
      <c r="D26" s="55" t="s">
        <v>153</v>
      </c>
      <c r="E26" s="56">
        <v>0.81</v>
      </c>
      <c r="F26" s="57">
        <v>0</v>
      </c>
      <c r="G26" s="58">
        <v>0</v>
      </c>
      <c r="H26" s="57">
        <v>3.6</v>
      </c>
      <c r="I26" s="59">
        <v>1.83</v>
      </c>
      <c r="J26" s="59">
        <v>1.71</v>
      </c>
      <c r="K26" s="59">
        <v>2.16</v>
      </c>
      <c r="L26" s="59">
        <v>1.49</v>
      </c>
      <c r="M26" s="59">
        <v>0.13</v>
      </c>
      <c r="N26" s="59">
        <v>2.16</v>
      </c>
      <c r="O26" s="59">
        <v>1.49</v>
      </c>
      <c r="P26" s="59">
        <v>0.13</v>
      </c>
      <c r="Q26" s="59">
        <v>0.64</v>
      </c>
      <c r="R26" s="59">
        <v>0.43</v>
      </c>
      <c r="S26" s="59">
        <v>0.69</v>
      </c>
      <c r="T26" s="59">
        <v>0.64</v>
      </c>
      <c r="U26" s="59">
        <v>0.43</v>
      </c>
      <c r="V26" s="59">
        <v>0.69</v>
      </c>
    </row>
    <row r="27" spans="2:22" ht="37.25" customHeight="1">
      <c r="B27" s="48"/>
      <c r="C27" s="49">
        <v>25</v>
      </c>
      <c r="D27" s="55" t="s">
        <v>154</v>
      </c>
      <c r="E27" s="56">
        <v>0.71</v>
      </c>
      <c r="F27" s="57">
        <v>0.12</v>
      </c>
      <c r="G27" s="58">
        <v>0.12</v>
      </c>
      <c r="H27" s="57">
        <v>2.15</v>
      </c>
      <c r="I27" s="59">
        <v>1.4</v>
      </c>
      <c r="J27" s="59">
        <v>1.71</v>
      </c>
      <c r="K27" s="59">
        <v>1.22</v>
      </c>
      <c r="L27" s="59">
        <v>0.02</v>
      </c>
      <c r="M27" s="59">
        <v>0.05</v>
      </c>
      <c r="N27" s="59">
        <v>1.22</v>
      </c>
      <c r="O27" s="59">
        <v>0.02</v>
      </c>
      <c r="P27" s="59">
        <v>0.05</v>
      </c>
      <c r="Q27" s="59">
        <v>0.79</v>
      </c>
      <c r="R27" s="59">
        <v>0.48</v>
      </c>
      <c r="S27" s="59">
        <v>0.67</v>
      </c>
      <c r="T27" s="59">
        <v>0.79</v>
      </c>
      <c r="U27" s="59">
        <v>0.48</v>
      </c>
      <c r="V27" s="59">
        <v>0.67</v>
      </c>
    </row>
    <row r="28" spans="2:22" ht="37.25" customHeight="1">
      <c r="B28" s="48"/>
      <c r="C28" s="49">
        <v>26</v>
      </c>
      <c r="D28" s="55" t="s">
        <v>155</v>
      </c>
      <c r="E28" s="56">
        <v>0.8</v>
      </c>
      <c r="F28" s="57">
        <v>0.05</v>
      </c>
      <c r="G28" s="58">
        <v>0.05</v>
      </c>
      <c r="H28" s="57">
        <v>1.92</v>
      </c>
      <c r="I28" s="59">
        <v>1.31</v>
      </c>
      <c r="J28" s="59">
        <v>1.41</v>
      </c>
      <c r="K28" s="59">
        <v>1.1399999999999999</v>
      </c>
      <c r="L28" s="59">
        <v>0.86</v>
      </c>
      <c r="M28" s="59">
        <v>0.18</v>
      </c>
      <c r="N28" s="59">
        <v>1.1399999999999999</v>
      </c>
      <c r="O28" s="59">
        <v>0.86</v>
      </c>
      <c r="P28" s="59">
        <v>0.18</v>
      </c>
      <c r="Q28" s="59">
        <v>0.59</v>
      </c>
      <c r="R28" s="59">
        <v>0.49</v>
      </c>
      <c r="S28" s="59">
        <v>0.75</v>
      </c>
      <c r="T28" s="59">
        <v>0.59</v>
      </c>
      <c r="U28" s="59">
        <v>0.49</v>
      </c>
      <c r="V28" s="59">
        <v>0.75</v>
      </c>
    </row>
    <row r="29" spans="2:22" ht="37.25" customHeight="1">
      <c r="B29" s="48"/>
      <c r="C29" s="49">
        <v>27</v>
      </c>
      <c r="D29" s="55" t="s">
        <v>156</v>
      </c>
      <c r="E29" s="56">
        <v>0.87</v>
      </c>
      <c r="F29" s="57">
        <v>7.0000000000000007E-2</v>
      </c>
      <c r="G29" s="58">
        <v>7.0000000000000007E-2</v>
      </c>
      <c r="H29" s="57">
        <v>1.87</v>
      </c>
      <c r="I29" s="59">
        <v>1.17</v>
      </c>
      <c r="J29" s="59">
        <v>1.26</v>
      </c>
      <c r="K29" s="59">
        <v>1.2</v>
      </c>
      <c r="L29" s="59">
        <v>1.07</v>
      </c>
      <c r="M29" s="59">
        <v>0.09</v>
      </c>
      <c r="N29" s="59">
        <v>1.2</v>
      </c>
      <c r="O29" s="59">
        <v>1.07</v>
      </c>
      <c r="P29" s="59">
        <v>0.09</v>
      </c>
      <c r="Q29" s="59">
        <v>0.62</v>
      </c>
      <c r="R29" s="59">
        <v>0.77</v>
      </c>
      <c r="S29" s="59">
        <v>1.58</v>
      </c>
      <c r="T29" s="59">
        <v>0.62</v>
      </c>
      <c r="U29" s="59">
        <v>0.77</v>
      </c>
      <c r="V29" s="59">
        <v>1.58</v>
      </c>
    </row>
    <row r="30" spans="2:22" ht="37.25" customHeight="1">
      <c r="B30" s="48"/>
      <c r="C30" s="49">
        <v>28</v>
      </c>
      <c r="D30" s="55" t="s">
        <v>156</v>
      </c>
      <c r="E30" s="56">
        <v>0.87</v>
      </c>
      <c r="F30" s="57">
        <v>7.0000000000000007E-2</v>
      </c>
      <c r="G30" s="58">
        <v>7.0000000000000007E-2</v>
      </c>
      <c r="H30" s="57">
        <v>1.87</v>
      </c>
      <c r="I30" s="59">
        <v>1.17</v>
      </c>
      <c r="J30" s="59">
        <v>1.26</v>
      </c>
      <c r="K30" s="59">
        <v>1.2</v>
      </c>
      <c r="L30" s="59">
        <v>1.07</v>
      </c>
      <c r="M30" s="59">
        <v>0.09</v>
      </c>
      <c r="N30" s="59">
        <v>1.2</v>
      </c>
      <c r="O30" s="59">
        <v>1.07</v>
      </c>
      <c r="P30" s="59">
        <v>0.09</v>
      </c>
      <c r="Q30" s="59">
        <v>0.62</v>
      </c>
      <c r="R30" s="59">
        <v>0.77</v>
      </c>
      <c r="S30" s="59">
        <v>1.58</v>
      </c>
      <c r="T30" s="59">
        <v>0.62</v>
      </c>
      <c r="U30" s="59">
        <v>0.77</v>
      </c>
      <c r="V30" s="59">
        <v>1.58</v>
      </c>
    </row>
    <row r="31" spans="2:22" ht="37.25" customHeight="1">
      <c r="B31" s="48"/>
      <c r="C31" s="49">
        <v>29</v>
      </c>
      <c r="D31" s="55" t="s">
        <v>157</v>
      </c>
      <c r="E31" s="56">
        <v>0.92</v>
      </c>
      <c r="F31" s="57">
        <v>0.09</v>
      </c>
      <c r="G31" s="58">
        <v>0.09</v>
      </c>
      <c r="H31" s="57">
        <v>2.39</v>
      </c>
      <c r="I31" s="59">
        <v>1.64</v>
      </c>
      <c r="J31" s="59">
        <v>1.71</v>
      </c>
      <c r="K31" s="59">
        <v>1.36</v>
      </c>
      <c r="L31" s="59">
        <v>1.29</v>
      </c>
      <c r="M31" s="59">
        <v>0.21</v>
      </c>
      <c r="N31" s="59">
        <v>1.36</v>
      </c>
      <c r="O31" s="59">
        <v>1.29</v>
      </c>
      <c r="P31" s="59">
        <v>0.21</v>
      </c>
      <c r="Q31" s="59">
        <v>0.7</v>
      </c>
      <c r="R31" s="59">
        <v>0.52</v>
      </c>
      <c r="S31" s="59">
        <v>0.77</v>
      </c>
      <c r="T31" s="59">
        <v>0.7</v>
      </c>
      <c r="U31" s="59">
        <v>0.52</v>
      </c>
      <c r="V31" s="59">
        <v>0.77</v>
      </c>
    </row>
    <row r="32" spans="2:22" ht="37.25" customHeight="1">
      <c r="B32" s="48"/>
      <c r="C32" s="49">
        <v>30</v>
      </c>
      <c r="D32" s="55" t="s">
        <v>158</v>
      </c>
      <c r="E32" s="56">
        <v>0.87</v>
      </c>
      <c r="F32" s="57">
        <v>0.1</v>
      </c>
      <c r="G32" s="58">
        <v>0.1</v>
      </c>
      <c r="H32" s="57">
        <v>2.4</v>
      </c>
      <c r="I32" s="59">
        <v>1.72</v>
      </c>
      <c r="J32" s="59">
        <v>1.67</v>
      </c>
      <c r="K32" s="59">
        <v>1.33</v>
      </c>
      <c r="L32" s="59">
        <v>1.23</v>
      </c>
      <c r="M32" s="59">
        <v>0.08</v>
      </c>
      <c r="N32" s="59">
        <v>1.33</v>
      </c>
      <c r="O32" s="59">
        <v>1.23</v>
      </c>
      <c r="P32" s="59">
        <v>0.08</v>
      </c>
      <c r="Q32" s="59">
        <v>0.61</v>
      </c>
      <c r="R32" s="59">
        <v>0.47</v>
      </c>
      <c r="S32" s="59">
        <v>0.77</v>
      </c>
      <c r="T32" s="59">
        <v>0.61</v>
      </c>
      <c r="U32" s="59">
        <v>0.47</v>
      </c>
      <c r="V32" s="59">
        <v>0.77</v>
      </c>
    </row>
    <row r="33" spans="2:22" ht="37.25" customHeight="1">
      <c r="B33" s="48"/>
      <c r="C33" s="49">
        <v>31</v>
      </c>
      <c r="D33" s="55" t="s">
        <v>159</v>
      </c>
      <c r="E33" s="56">
        <v>1.1499999999999999</v>
      </c>
      <c r="F33" s="57">
        <v>0.12</v>
      </c>
      <c r="G33" s="58">
        <v>0.12</v>
      </c>
      <c r="H33" s="57">
        <v>4.37</v>
      </c>
      <c r="I33" s="59">
        <v>2.56</v>
      </c>
      <c r="J33" s="59">
        <v>2.14</v>
      </c>
      <c r="K33" s="59">
        <v>2.72</v>
      </c>
      <c r="L33" s="59">
        <v>2.23</v>
      </c>
      <c r="M33" s="59">
        <v>0.19</v>
      </c>
      <c r="N33" s="59">
        <v>2.72</v>
      </c>
      <c r="O33" s="59">
        <v>2.23</v>
      </c>
      <c r="P33" s="59">
        <v>0.19</v>
      </c>
      <c r="Q33" s="59">
        <v>0.82</v>
      </c>
      <c r="R33" s="59">
        <v>0.56999999999999995</v>
      </c>
      <c r="S33" s="59">
        <v>0.7</v>
      </c>
      <c r="T33" s="59">
        <v>0.82</v>
      </c>
      <c r="U33" s="59">
        <v>0.56999999999999995</v>
      </c>
      <c r="V33" s="59">
        <v>0.7</v>
      </c>
    </row>
    <row r="34" spans="2:22" ht="37.25" customHeight="1">
      <c r="B34" s="48"/>
      <c r="C34" s="49">
        <v>32</v>
      </c>
      <c r="D34" s="55" t="s">
        <v>160</v>
      </c>
      <c r="E34" s="56">
        <v>1.07</v>
      </c>
      <c r="F34" s="57">
        <v>0.28000000000000003</v>
      </c>
      <c r="G34" s="58">
        <v>0.28000000000000003</v>
      </c>
      <c r="H34" s="57">
        <v>3.99</v>
      </c>
      <c r="I34" s="59">
        <v>2.12</v>
      </c>
      <c r="J34" s="59">
        <v>2</v>
      </c>
      <c r="K34" s="59">
        <v>1.7</v>
      </c>
      <c r="L34" s="59">
        <v>1.36</v>
      </c>
      <c r="M34" s="59">
        <v>0.1</v>
      </c>
      <c r="N34" s="59">
        <v>1.7</v>
      </c>
      <c r="O34" s="59">
        <v>1.36</v>
      </c>
      <c r="P34" s="59">
        <v>0.1</v>
      </c>
      <c r="Q34" s="59">
        <v>0.92</v>
      </c>
      <c r="R34" s="59">
        <v>0.48</v>
      </c>
      <c r="S34" s="59">
        <v>1.07</v>
      </c>
      <c r="T34" s="59">
        <v>0.92</v>
      </c>
      <c r="U34" s="59">
        <v>0.48</v>
      </c>
      <c r="V34" s="59">
        <v>1.07</v>
      </c>
    </row>
    <row r="35" spans="2:22" ht="37.25" customHeight="1">
      <c r="B35" s="48"/>
      <c r="C35" s="49">
        <v>33</v>
      </c>
      <c r="D35" s="55" t="s">
        <v>161</v>
      </c>
      <c r="E35" s="56">
        <v>0.9</v>
      </c>
      <c r="F35" s="57">
        <v>0.09</v>
      </c>
      <c r="G35" s="58">
        <v>0.09</v>
      </c>
      <c r="H35" s="57">
        <v>2.66</v>
      </c>
      <c r="I35" s="59">
        <v>1.42</v>
      </c>
      <c r="J35" s="59">
        <v>1.57</v>
      </c>
      <c r="K35" s="59">
        <v>1.32</v>
      </c>
      <c r="L35" s="59">
        <v>0.99</v>
      </c>
      <c r="M35" s="59">
        <v>0.14000000000000001</v>
      </c>
      <c r="N35" s="59">
        <v>1.32</v>
      </c>
      <c r="O35" s="59">
        <v>0.99</v>
      </c>
      <c r="P35" s="59">
        <v>0.14000000000000001</v>
      </c>
      <c r="Q35" s="59">
        <v>0.73</v>
      </c>
      <c r="R35" s="59">
        <v>0.66</v>
      </c>
      <c r="S35" s="59">
        <v>0.85</v>
      </c>
      <c r="T35" s="59">
        <v>0.73</v>
      </c>
      <c r="U35" s="59">
        <v>0.66</v>
      </c>
      <c r="V35" s="59">
        <v>0.85</v>
      </c>
    </row>
    <row r="36" spans="2:22" ht="37.25" customHeight="1">
      <c r="B36" s="48"/>
      <c r="C36" s="49">
        <v>34</v>
      </c>
      <c r="D36" s="55" t="s">
        <v>162</v>
      </c>
      <c r="E36" s="56">
        <v>1.24</v>
      </c>
      <c r="F36" s="57">
        <v>0.06</v>
      </c>
      <c r="G36" s="58">
        <v>0.06</v>
      </c>
      <c r="H36" s="57">
        <v>3.22</v>
      </c>
      <c r="I36" s="59">
        <v>1.99</v>
      </c>
      <c r="J36" s="59">
        <v>2.0299999999999998</v>
      </c>
      <c r="K36" s="59">
        <v>1.62</v>
      </c>
      <c r="L36" s="59">
        <v>1.5</v>
      </c>
      <c r="M36" s="59">
        <v>0.37</v>
      </c>
      <c r="N36" s="59">
        <v>1.62</v>
      </c>
      <c r="O36" s="59">
        <v>1.5</v>
      </c>
      <c r="P36" s="59">
        <v>0.37</v>
      </c>
      <c r="Q36" s="59">
        <v>1.51</v>
      </c>
      <c r="R36" s="59">
        <v>0.65</v>
      </c>
      <c r="S36" s="59">
        <v>0.8</v>
      </c>
      <c r="T36" s="59">
        <v>1.51</v>
      </c>
      <c r="U36" s="59">
        <v>0.65</v>
      </c>
      <c r="V36" s="59">
        <v>0.8</v>
      </c>
    </row>
    <row r="37" spans="2:22" ht="37.25" customHeight="1">
      <c r="B37" s="48"/>
      <c r="C37" s="49">
        <v>35</v>
      </c>
      <c r="D37" s="55" t="s">
        <v>163</v>
      </c>
      <c r="E37" s="56">
        <v>1.08</v>
      </c>
      <c r="F37" s="57">
        <v>0.31</v>
      </c>
      <c r="G37" s="58">
        <v>0.31</v>
      </c>
      <c r="H37" s="57">
        <v>3.76</v>
      </c>
      <c r="I37" s="59">
        <v>2</v>
      </c>
      <c r="J37" s="59">
        <v>1.92</v>
      </c>
      <c r="K37" s="59">
        <v>2</v>
      </c>
      <c r="L37" s="59">
        <v>1.37</v>
      </c>
      <c r="M37" s="59">
        <v>0.25</v>
      </c>
      <c r="N37" s="59">
        <v>2</v>
      </c>
      <c r="O37" s="59">
        <v>1.37</v>
      </c>
      <c r="P37" s="59">
        <v>0.25</v>
      </c>
      <c r="Q37" s="59">
        <v>0.83</v>
      </c>
      <c r="R37" s="59">
        <v>0.61</v>
      </c>
      <c r="S37" s="59">
        <v>1.08</v>
      </c>
      <c r="T37" s="59">
        <v>0.83</v>
      </c>
      <c r="U37" s="59">
        <v>0.61</v>
      </c>
      <c r="V37" s="59">
        <v>1.08</v>
      </c>
    </row>
    <row r="38" spans="2:22" ht="37.25" customHeight="1">
      <c r="B38" s="48"/>
      <c r="C38" s="49">
        <v>36</v>
      </c>
      <c r="D38" s="55" t="s">
        <v>164</v>
      </c>
      <c r="E38" s="56">
        <v>0.86</v>
      </c>
      <c r="F38" s="57">
        <v>0</v>
      </c>
      <c r="G38" s="58">
        <v>0</v>
      </c>
      <c r="H38" s="57">
        <v>3.24</v>
      </c>
      <c r="I38" s="59">
        <v>1.81</v>
      </c>
      <c r="J38" s="59">
        <v>2.06</v>
      </c>
      <c r="K38" s="59">
        <v>1.98</v>
      </c>
      <c r="L38" s="59">
        <v>1.1299999999999999</v>
      </c>
      <c r="M38" s="59">
        <v>7.0000000000000007E-2</v>
      </c>
      <c r="N38" s="59">
        <v>1.98</v>
      </c>
      <c r="O38" s="59">
        <v>1.1299999999999999</v>
      </c>
      <c r="P38" s="59">
        <v>7.0000000000000007E-2</v>
      </c>
      <c r="Q38" s="59">
        <v>1.19</v>
      </c>
      <c r="R38" s="59">
        <v>0.04</v>
      </c>
      <c r="S38" s="59">
        <v>0.44</v>
      </c>
      <c r="T38" s="59">
        <v>1.19</v>
      </c>
      <c r="U38" s="59">
        <v>0.04</v>
      </c>
      <c r="V38" s="59">
        <v>0.44</v>
      </c>
    </row>
    <row r="39" spans="2:22" ht="37.25" customHeight="1">
      <c r="B39" s="48"/>
      <c r="C39" s="49">
        <v>37</v>
      </c>
      <c r="D39" s="55" t="s">
        <v>165</v>
      </c>
      <c r="E39" s="56">
        <v>0.59</v>
      </c>
      <c r="F39" s="57">
        <v>0</v>
      </c>
      <c r="G39" s="58">
        <v>0</v>
      </c>
      <c r="H39" s="57">
        <v>1.21</v>
      </c>
      <c r="I39" s="59">
        <v>0.74</v>
      </c>
      <c r="J39" s="59">
        <v>1.56</v>
      </c>
      <c r="K39" s="59">
        <v>0.44</v>
      </c>
      <c r="L39" s="59">
        <v>0.24</v>
      </c>
      <c r="M39" s="59">
        <v>0.17</v>
      </c>
      <c r="N39" s="59">
        <v>0.44</v>
      </c>
      <c r="O39" s="59">
        <v>0.24</v>
      </c>
      <c r="P39" s="59">
        <v>0.17</v>
      </c>
      <c r="Q39" s="59">
        <v>1.52</v>
      </c>
      <c r="R39" s="59">
        <v>0.09</v>
      </c>
      <c r="S39" s="59">
        <v>0.74</v>
      </c>
      <c r="T39" s="59">
        <v>1.52</v>
      </c>
      <c r="U39" s="59">
        <v>0.09</v>
      </c>
      <c r="V39" s="59">
        <v>0.74</v>
      </c>
    </row>
    <row r="40" spans="2:22" ht="37.25" customHeight="1">
      <c r="B40" s="48"/>
      <c r="C40" s="49">
        <v>38</v>
      </c>
      <c r="D40" s="55" t="s">
        <v>166</v>
      </c>
      <c r="E40" s="56">
        <v>0.7</v>
      </c>
      <c r="F40" s="57">
        <v>0</v>
      </c>
      <c r="G40" s="58">
        <v>0</v>
      </c>
      <c r="H40" s="57">
        <v>1.1100000000000001</v>
      </c>
      <c r="I40" s="59">
        <v>0.94</v>
      </c>
      <c r="J40" s="59">
        <v>1.52</v>
      </c>
      <c r="K40" s="59">
        <v>0.73</v>
      </c>
      <c r="L40" s="59">
        <v>0.62</v>
      </c>
      <c r="M40" s="59">
        <v>0.14000000000000001</v>
      </c>
      <c r="N40" s="59">
        <v>0.73</v>
      </c>
      <c r="O40" s="59">
        <v>0.62</v>
      </c>
      <c r="P40" s="59">
        <v>0.14000000000000001</v>
      </c>
      <c r="Q40" s="59">
        <v>1.53</v>
      </c>
      <c r="R40" s="59">
        <v>0.09</v>
      </c>
      <c r="S40" s="59">
        <v>0.85</v>
      </c>
      <c r="T40" s="59">
        <v>1.53</v>
      </c>
      <c r="U40" s="59">
        <v>0.09</v>
      </c>
      <c r="V40" s="59">
        <v>0.85</v>
      </c>
    </row>
    <row r="41" spans="2:22" ht="37.25" customHeight="1">
      <c r="B41" s="48"/>
      <c r="C41" s="49">
        <v>39</v>
      </c>
      <c r="D41" s="55" t="s">
        <v>167</v>
      </c>
      <c r="E41" s="56">
        <v>0.91</v>
      </c>
      <c r="F41" s="57">
        <v>0.14000000000000001</v>
      </c>
      <c r="G41" s="58">
        <v>0.14000000000000001</v>
      </c>
      <c r="H41" s="57">
        <v>2.82</v>
      </c>
      <c r="I41" s="59">
        <v>1.53</v>
      </c>
      <c r="J41" s="59">
        <v>1.79</v>
      </c>
      <c r="K41" s="59">
        <v>1.22</v>
      </c>
      <c r="L41" s="59">
        <v>0.97</v>
      </c>
      <c r="M41" s="59">
        <v>0.08</v>
      </c>
      <c r="N41" s="59">
        <v>1.22</v>
      </c>
      <c r="O41" s="59">
        <v>0.97</v>
      </c>
      <c r="P41" s="59">
        <v>0.08</v>
      </c>
      <c r="Q41" s="59">
        <v>1.53</v>
      </c>
      <c r="R41" s="59">
        <v>0.11</v>
      </c>
      <c r="S41" s="59">
        <v>0.83</v>
      </c>
      <c r="T41" s="59">
        <v>1.53</v>
      </c>
      <c r="U41" s="59">
        <v>0.11</v>
      </c>
      <c r="V41" s="59">
        <v>0.83</v>
      </c>
    </row>
    <row r="42" spans="2:22" ht="37.25" customHeight="1">
      <c r="B42" s="48"/>
      <c r="C42" s="49">
        <v>40</v>
      </c>
      <c r="D42" s="55" t="s">
        <v>168</v>
      </c>
      <c r="E42" s="56">
        <v>0.56999999999999995</v>
      </c>
      <c r="F42" s="57">
        <v>0</v>
      </c>
      <c r="G42" s="58">
        <v>0</v>
      </c>
      <c r="H42" s="57">
        <v>1.69</v>
      </c>
      <c r="I42" s="59">
        <v>0.8</v>
      </c>
      <c r="J42" s="59">
        <v>1.08</v>
      </c>
      <c r="K42" s="59">
        <v>0.67</v>
      </c>
      <c r="L42" s="59">
        <v>0.57999999999999996</v>
      </c>
      <c r="M42" s="59">
        <v>7.0000000000000007E-2</v>
      </c>
      <c r="N42" s="59">
        <v>0.67</v>
      </c>
      <c r="O42" s="59">
        <v>0.57999999999999996</v>
      </c>
      <c r="P42" s="59">
        <v>7.0000000000000007E-2</v>
      </c>
      <c r="Q42" s="59">
        <v>0.36</v>
      </c>
      <c r="R42" s="59">
        <v>0.39</v>
      </c>
      <c r="S42" s="59">
        <v>0.74</v>
      </c>
      <c r="T42" s="59">
        <v>0.36</v>
      </c>
      <c r="U42" s="59">
        <v>0.39</v>
      </c>
      <c r="V42" s="59">
        <v>0.74</v>
      </c>
    </row>
    <row r="43" spans="2:22" ht="37.25" customHeight="1">
      <c r="B43" s="48"/>
      <c r="C43" s="49">
        <v>41</v>
      </c>
      <c r="D43" s="55" t="s">
        <v>169</v>
      </c>
      <c r="E43" s="56">
        <v>0.93</v>
      </c>
      <c r="F43" s="57">
        <v>0</v>
      </c>
      <c r="G43" s="58">
        <v>0</v>
      </c>
      <c r="H43" s="57">
        <v>3.6</v>
      </c>
      <c r="I43" s="59">
        <v>1.83</v>
      </c>
      <c r="J43" s="59">
        <v>1.71</v>
      </c>
      <c r="K43" s="59">
        <v>2.16</v>
      </c>
      <c r="L43" s="59">
        <v>1.49</v>
      </c>
      <c r="M43" s="59">
        <v>0.13</v>
      </c>
      <c r="N43" s="59">
        <v>2.16</v>
      </c>
      <c r="O43" s="59">
        <v>1.49</v>
      </c>
      <c r="P43" s="59">
        <v>0.13</v>
      </c>
      <c r="Q43" s="59">
        <v>0.64</v>
      </c>
      <c r="R43" s="59">
        <v>0.43</v>
      </c>
      <c r="S43" s="59">
        <v>0.69</v>
      </c>
      <c r="T43" s="59">
        <v>0.64</v>
      </c>
      <c r="U43" s="59">
        <v>0.43</v>
      </c>
      <c r="V43" s="59">
        <v>0.69</v>
      </c>
    </row>
    <row r="44" spans="2:22" ht="37.25" customHeight="1">
      <c r="B44" s="48"/>
      <c r="C44" s="49">
        <v>42</v>
      </c>
      <c r="D44" s="55" t="s">
        <v>170</v>
      </c>
      <c r="E44" s="56">
        <v>0.96</v>
      </c>
      <c r="F44" s="57">
        <v>0.04</v>
      </c>
      <c r="G44" s="58">
        <v>0.04</v>
      </c>
      <c r="H44" s="57">
        <v>3.3</v>
      </c>
      <c r="I44" s="59">
        <v>1.67</v>
      </c>
      <c r="J44" s="59">
        <v>2.2000000000000002</v>
      </c>
      <c r="K44" s="59">
        <v>2.1</v>
      </c>
      <c r="L44" s="59">
        <v>1.43</v>
      </c>
      <c r="M44" s="59">
        <v>0.09</v>
      </c>
      <c r="N44" s="59">
        <v>2.1</v>
      </c>
      <c r="O44" s="59">
        <v>1.43</v>
      </c>
      <c r="P44" s="59">
        <v>0.09</v>
      </c>
      <c r="Q44" s="59">
        <v>0.72</v>
      </c>
      <c r="R44" s="59">
        <v>0.42</v>
      </c>
      <c r="S44" s="59">
        <v>0.67</v>
      </c>
      <c r="T44" s="59">
        <v>0.72</v>
      </c>
      <c r="U44" s="59">
        <v>0.42</v>
      </c>
      <c r="V44" s="59">
        <v>0.67</v>
      </c>
    </row>
    <row r="45" spans="2:22" ht="37.25" customHeight="1">
      <c r="B45" s="48"/>
      <c r="C45" s="49">
        <v>43</v>
      </c>
      <c r="D45" s="55" t="s">
        <v>171</v>
      </c>
      <c r="E45" s="56">
        <v>1.05</v>
      </c>
      <c r="F45" s="57">
        <v>0.04</v>
      </c>
      <c r="G45" s="58">
        <v>0.04</v>
      </c>
      <c r="H45" s="57">
        <v>3.88</v>
      </c>
      <c r="I45" s="59">
        <v>2.2599999999999998</v>
      </c>
      <c r="J45" s="59">
        <v>1.97</v>
      </c>
      <c r="K45" s="59">
        <v>1.82</v>
      </c>
      <c r="L45" s="59">
        <v>1.46</v>
      </c>
      <c r="M45" s="59">
        <v>0.17</v>
      </c>
      <c r="N45" s="59">
        <v>1.82</v>
      </c>
      <c r="O45" s="59">
        <v>1.46</v>
      </c>
      <c r="P45" s="59">
        <v>0.17</v>
      </c>
      <c r="Q45" s="59">
        <v>0.81</v>
      </c>
      <c r="R45" s="59">
        <v>0.56999999999999995</v>
      </c>
      <c r="S45" s="59">
        <v>0.78</v>
      </c>
      <c r="T45" s="59">
        <v>0.81</v>
      </c>
      <c r="U45" s="59">
        <v>0.56999999999999995</v>
      </c>
      <c r="V45" s="59">
        <v>0.78</v>
      </c>
    </row>
    <row r="46" spans="2:22" ht="37.25" customHeight="1">
      <c r="B46" s="48"/>
      <c r="C46" s="49">
        <v>44</v>
      </c>
      <c r="D46" s="55" t="s">
        <v>172</v>
      </c>
      <c r="E46" s="56">
        <v>1.18</v>
      </c>
      <c r="F46" s="57">
        <v>0.65</v>
      </c>
      <c r="G46" s="58">
        <v>0.65</v>
      </c>
      <c r="H46" s="57">
        <v>5.26</v>
      </c>
      <c r="I46" s="59">
        <v>3.07</v>
      </c>
      <c r="J46" s="59">
        <v>2.2000000000000002</v>
      </c>
      <c r="K46" s="59">
        <v>3.14</v>
      </c>
      <c r="L46" s="59">
        <v>2.0699999999999998</v>
      </c>
      <c r="M46" s="59">
        <v>0.08</v>
      </c>
      <c r="N46" s="59">
        <v>3.14</v>
      </c>
      <c r="O46" s="59">
        <v>2.0699999999999998</v>
      </c>
      <c r="P46" s="59">
        <v>0.08</v>
      </c>
      <c r="Q46" s="59">
        <v>0.67</v>
      </c>
      <c r="R46" s="59">
        <v>0.54</v>
      </c>
      <c r="S46" s="59">
        <v>0.77</v>
      </c>
      <c r="T46" s="59">
        <v>0.67</v>
      </c>
      <c r="U46" s="59">
        <v>0.54</v>
      </c>
      <c r="V46" s="59">
        <v>0.77</v>
      </c>
    </row>
    <row r="47" spans="2:22" ht="37.25" customHeight="1">
      <c r="B47" s="48"/>
      <c r="C47" s="49">
        <v>45</v>
      </c>
      <c r="D47" s="55" t="s">
        <v>173</v>
      </c>
      <c r="E47" s="56">
        <v>1.84</v>
      </c>
      <c r="F47" s="57">
        <v>0.89</v>
      </c>
      <c r="G47" s="58">
        <v>0.89</v>
      </c>
      <c r="H47" s="57">
        <v>5.24</v>
      </c>
      <c r="I47" s="59">
        <v>2.87</v>
      </c>
      <c r="J47" s="59">
        <v>2.64</v>
      </c>
      <c r="K47" s="59">
        <v>2.5499999999999998</v>
      </c>
      <c r="L47" s="59">
        <v>2.16</v>
      </c>
      <c r="M47" s="59">
        <v>0.46</v>
      </c>
      <c r="N47" s="59">
        <v>2.5499999999999998</v>
      </c>
      <c r="O47" s="59">
        <v>2.16</v>
      </c>
      <c r="P47" s="59">
        <v>0.46</v>
      </c>
      <c r="Q47" s="59">
        <v>1.49</v>
      </c>
      <c r="R47" s="59">
        <v>1.82</v>
      </c>
      <c r="S47" s="59">
        <v>1.56</v>
      </c>
      <c r="T47" s="59">
        <v>1.49</v>
      </c>
      <c r="U47" s="59">
        <v>1.82</v>
      </c>
      <c r="V47" s="59">
        <v>1.56</v>
      </c>
    </row>
    <row r="48" spans="2:22" ht="37.25" customHeight="1">
      <c r="B48" s="48"/>
      <c r="C48" s="49">
        <v>46</v>
      </c>
      <c r="D48" s="55" t="s">
        <v>174</v>
      </c>
      <c r="E48" s="56">
        <v>1.87</v>
      </c>
      <c r="F48" s="57">
        <v>1.63</v>
      </c>
      <c r="G48" s="58">
        <v>1.63</v>
      </c>
      <c r="H48" s="57">
        <v>5.12</v>
      </c>
      <c r="I48" s="59">
        <v>2.7</v>
      </c>
      <c r="J48" s="59">
        <v>2.57</v>
      </c>
      <c r="K48" s="59">
        <v>2.58</v>
      </c>
      <c r="L48" s="59">
        <v>2.16</v>
      </c>
      <c r="M48" s="59">
        <v>0.49</v>
      </c>
      <c r="N48" s="59">
        <v>2.58</v>
      </c>
      <c r="O48" s="59">
        <v>2.16</v>
      </c>
      <c r="P48" s="59">
        <v>0.49</v>
      </c>
      <c r="Q48" s="59">
        <v>1.44</v>
      </c>
      <c r="R48" s="59">
        <v>1.76</v>
      </c>
      <c r="S48" s="59">
        <v>1.54</v>
      </c>
      <c r="T48" s="59">
        <v>1.44</v>
      </c>
      <c r="U48" s="59">
        <v>1.76</v>
      </c>
      <c r="V48" s="59">
        <v>1.54</v>
      </c>
    </row>
    <row r="49" spans="2:22" ht="37.25" customHeight="1">
      <c r="B49" s="48"/>
      <c r="C49" s="49">
        <v>47</v>
      </c>
      <c r="D49" s="55" t="s">
        <v>175</v>
      </c>
      <c r="E49" s="56">
        <v>2.5299999999999998</v>
      </c>
      <c r="F49" s="57">
        <v>1.17</v>
      </c>
      <c r="G49" s="58">
        <v>1.17</v>
      </c>
      <c r="H49" s="57">
        <v>15.44</v>
      </c>
      <c r="I49" s="59">
        <v>5.5</v>
      </c>
      <c r="J49" s="59">
        <v>5.2</v>
      </c>
      <c r="K49" s="59">
        <v>6.55</v>
      </c>
      <c r="L49" s="59">
        <v>5.58</v>
      </c>
      <c r="M49" s="59">
        <v>0.35</v>
      </c>
      <c r="N49" s="59">
        <v>6.55</v>
      </c>
      <c r="O49" s="59">
        <v>5.58</v>
      </c>
      <c r="P49" s="59">
        <v>0.35</v>
      </c>
      <c r="Q49" s="59">
        <v>2.12</v>
      </c>
      <c r="R49" s="59">
        <v>1.7</v>
      </c>
      <c r="S49" s="59">
        <v>1.54</v>
      </c>
      <c r="T49" s="59">
        <v>2.12</v>
      </c>
      <c r="U49" s="59">
        <v>1.7</v>
      </c>
      <c r="V49" s="59">
        <v>1.54</v>
      </c>
    </row>
    <row r="50" spans="2:22" ht="37.25" customHeight="1">
      <c r="B50" s="48"/>
      <c r="C50" s="49">
        <v>48</v>
      </c>
      <c r="D50" s="55" t="s">
        <v>176</v>
      </c>
      <c r="E50" s="56">
        <v>2.75</v>
      </c>
      <c r="F50" s="57">
        <v>3.52</v>
      </c>
      <c r="G50" s="58">
        <v>3.52</v>
      </c>
      <c r="H50" s="57">
        <v>12.62</v>
      </c>
      <c r="I50" s="59">
        <v>3.99</v>
      </c>
      <c r="J50" s="59">
        <v>5.05</v>
      </c>
      <c r="K50" s="59">
        <v>6.2</v>
      </c>
      <c r="L50" s="59">
        <v>5.73</v>
      </c>
      <c r="M50" s="59">
        <v>0.53</v>
      </c>
      <c r="N50" s="59">
        <v>6.2</v>
      </c>
      <c r="O50" s="59">
        <v>5.73</v>
      </c>
      <c r="P50" s="59">
        <v>0.53</v>
      </c>
      <c r="Q50" s="59">
        <v>2.11</v>
      </c>
      <c r="R50" s="59">
        <v>1.81</v>
      </c>
      <c r="S50" s="59">
        <v>1.58</v>
      </c>
      <c r="T50" s="59">
        <v>2.11</v>
      </c>
      <c r="U50" s="59">
        <v>1.81</v>
      </c>
      <c r="V50" s="59">
        <v>1.58</v>
      </c>
    </row>
    <row r="51" spans="2:22" ht="37.25" customHeight="1">
      <c r="B51" s="48"/>
      <c r="C51" s="49">
        <v>49</v>
      </c>
      <c r="D51" s="55" t="s">
        <v>177</v>
      </c>
      <c r="E51" s="56">
        <v>3.27</v>
      </c>
      <c r="F51" s="57">
        <v>3.92</v>
      </c>
      <c r="G51" s="58">
        <v>3.92</v>
      </c>
      <c r="H51" s="57">
        <v>16.13</v>
      </c>
      <c r="I51" s="59">
        <v>4.47</v>
      </c>
      <c r="J51" s="59">
        <v>5.71</v>
      </c>
      <c r="K51" s="59">
        <v>7.12</v>
      </c>
      <c r="L51" s="59">
        <v>5.37</v>
      </c>
      <c r="M51" s="59">
        <v>2.54</v>
      </c>
      <c r="N51" s="59">
        <v>7.12</v>
      </c>
      <c r="O51" s="59">
        <v>5.37</v>
      </c>
      <c r="P51" s="59">
        <v>2.54</v>
      </c>
      <c r="Q51" s="59">
        <v>2.14</v>
      </c>
      <c r="R51" s="59">
        <v>1.82</v>
      </c>
      <c r="S51" s="59">
        <v>1.61</v>
      </c>
      <c r="T51" s="59">
        <v>2.14</v>
      </c>
      <c r="U51" s="59">
        <v>1.82</v>
      </c>
      <c r="V51" s="59">
        <v>1.61</v>
      </c>
    </row>
    <row r="52" spans="2:22" ht="24" customHeight="1">
      <c r="F52" s="46"/>
    </row>
    <row r="56" spans="2:22" ht="24" customHeight="1">
      <c r="F56" s="44"/>
      <c r="G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</row>
    <row r="57" spans="2:22" ht="24" customHeight="1">
      <c r="F57" s="44"/>
      <c r="G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2:22" ht="24" customHeight="1">
      <c r="F58" s="44"/>
      <c r="G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</row>
    <row r="59" spans="2:22" ht="24" customHeight="1">
      <c r="F59" s="44"/>
      <c r="G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2:22" ht="24" customHeight="1">
      <c r="F60" s="44"/>
      <c r="G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</row>
    <row r="61" spans="2:22" ht="24" customHeight="1">
      <c r="F61" s="44"/>
      <c r="G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2:22" ht="24" customHeight="1">
      <c r="F62" s="44"/>
      <c r="G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</row>
    <row r="63" spans="2:22" ht="24" customHeight="1">
      <c r="F63" s="44"/>
      <c r="G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2:22" ht="24" customHeight="1">
      <c r="F64" s="44"/>
      <c r="G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</row>
    <row r="65" spans="6:22" ht="24" customHeight="1">
      <c r="F65" s="44"/>
      <c r="G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6:22" ht="24" customHeight="1">
      <c r="F66" s="44"/>
      <c r="G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</row>
    <row r="67" spans="6:22" ht="24" customHeight="1">
      <c r="F67" s="44"/>
      <c r="G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</row>
    <row r="68" spans="6:22" ht="24" customHeight="1">
      <c r="F68" s="44"/>
      <c r="G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</row>
    <row r="69" spans="6:22" ht="24" customHeight="1">
      <c r="F69" s="44"/>
      <c r="G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6:22" ht="24" customHeight="1">
      <c r="F70" s="44"/>
      <c r="G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</row>
    <row r="71" spans="6:22" ht="24" customHeight="1">
      <c r="F71" s="44"/>
      <c r="G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6:22" ht="24" customHeight="1">
      <c r="F72" s="44"/>
      <c r="G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</row>
    <row r="73" spans="6:22" ht="24" customHeight="1">
      <c r="F73" s="44"/>
      <c r="G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6:22" ht="24" customHeight="1">
      <c r="F74" s="44"/>
      <c r="G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</row>
    <row r="75" spans="6:22" ht="24" customHeight="1">
      <c r="F75" s="44"/>
      <c r="G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3073-2134-442C-8859-61E08BADDD9E}">
  <sheetPr codeName="Sheet7">
    <tabColor theme="1" tint="0.499984740745262"/>
  </sheetPr>
  <dimension ref="B2:D2"/>
  <sheetViews>
    <sheetView workbookViewId="0">
      <selection activeCell="J21" sqref="J21"/>
    </sheetView>
  </sheetViews>
  <sheetFormatPr defaultRowHeight="14.25"/>
  <cols>
    <col min="1" max="1" width="2.73046875" customWidth="1"/>
    <col min="3" max="3" width="39.33203125" customWidth="1"/>
    <col min="4" max="4" width="9.9296875" bestFit="1" customWidth="1"/>
  </cols>
  <sheetData>
    <row r="2" spans="2:4">
      <c r="B2" t="s">
        <v>115</v>
      </c>
      <c r="C2" t="s">
        <v>114</v>
      </c>
      <c r="D2" s="25">
        <v>45587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Overview</vt:lpstr>
      <vt:lpstr>Simulation Information</vt:lpstr>
      <vt:lpstr>Thermal Environment</vt:lpstr>
      <vt:lpstr>Results</vt:lpstr>
      <vt:lpstr>Clothing Reference</vt:lpstr>
      <vt:lpstr>Change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Akihisa Nomoto</dc:creator>
  <cp:lastModifiedBy>Akihisa Nomoto</cp:lastModifiedBy>
  <dcterms:created xsi:type="dcterms:W3CDTF">2024-10-01T05:05:19Z</dcterms:created>
  <dcterms:modified xsi:type="dcterms:W3CDTF">2024-11-21T05:05:38Z</dcterms:modified>
</cp:coreProperties>
</file>